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 Davis\Downloads\School\4B\ECE 405C\Final Project\"/>
    </mc:Choice>
  </mc:AlternateContent>
  <xr:revisionPtr revIDLastSave="0" documentId="13_ncr:1_{C50258A8-B99A-497B-A753-D8517856B40B}" xr6:coauthVersionLast="47" xr6:coauthVersionMax="47" xr10:uidLastSave="{00000000-0000-0000-0000-000000000000}"/>
  <bookViews>
    <workbookView xWindow="-120" yWindow="-120" windowWidth="29040" windowHeight="15840" activeTab="3" xr2:uid="{5204ACA5-3E4A-402E-BD0A-EB57D0F19D8D}"/>
  </bookViews>
  <sheets>
    <sheet name="Run 1 (Alex)" sheetId="2" r:id="rId1"/>
    <sheet name="Run 2 (Alex)" sheetId="6" r:id="rId2"/>
    <sheet name="Run 1 (Ty)" sheetId="1" r:id="rId3"/>
    <sheet name="Run 2 (Ty)" sheetId="4" r:id="rId4"/>
    <sheet name="Run 1 Both MAchi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6" i="6" l="1"/>
  <c r="I316" i="6"/>
  <c r="H316" i="6"/>
  <c r="J315" i="6"/>
  <c r="I315" i="6"/>
  <c r="H315" i="6"/>
  <c r="J314" i="6"/>
  <c r="I314" i="6"/>
  <c r="H314" i="6"/>
  <c r="J313" i="6"/>
  <c r="I313" i="6"/>
  <c r="H313" i="6"/>
  <c r="J312" i="6"/>
  <c r="I312" i="6"/>
  <c r="H312" i="6"/>
  <c r="J311" i="6"/>
  <c r="I311" i="6"/>
  <c r="H311" i="6"/>
  <c r="J310" i="6"/>
  <c r="I310" i="6"/>
  <c r="H310" i="6"/>
  <c r="J309" i="6"/>
  <c r="I309" i="6"/>
  <c r="H309" i="6"/>
  <c r="J308" i="6"/>
  <c r="I308" i="6"/>
  <c r="H308" i="6"/>
  <c r="J307" i="6"/>
  <c r="I307" i="6"/>
  <c r="H307" i="6"/>
  <c r="J306" i="6"/>
  <c r="I306" i="6"/>
  <c r="H306" i="6"/>
  <c r="J305" i="6"/>
  <c r="I305" i="6"/>
  <c r="H305" i="6"/>
  <c r="J304" i="6"/>
  <c r="I304" i="6"/>
  <c r="H304" i="6"/>
  <c r="J303" i="6"/>
  <c r="I303" i="6"/>
  <c r="H303" i="6"/>
  <c r="J302" i="6"/>
  <c r="I302" i="6"/>
  <c r="H302" i="6"/>
  <c r="J301" i="6"/>
  <c r="I301" i="6"/>
  <c r="H301" i="6"/>
  <c r="J300" i="6"/>
  <c r="I300" i="6"/>
  <c r="H300" i="6"/>
  <c r="J299" i="6"/>
  <c r="I299" i="6"/>
  <c r="H299" i="6"/>
  <c r="J298" i="6"/>
  <c r="I298" i="6"/>
  <c r="H298" i="6"/>
  <c r="J297" i="6"/>
  <c r="I297" i="6"/>
  <c r="H297" i="6"/>
  <c r="J296" i="6"/>
  <c r="I296" i="6"/>
  <c r="H296" i="6"/>
  <c r="J295" i="6"/>
  <c r="I295" i="6"/>
  <c r="H295" i="6"/>
  <c r="J294" i="6"/>
  <c r="I294" i="6"/>
  <c r="H294" i="6"/>
  <c r="J293" i="6"/>
  <c r="I293" i="6"/>
  <c r="H293" i="6"/>
  <c r="J292" i="6"/>
  <c r="I292" i="6"/>
  <c r="H292" i="6"/>
  <c r="J291" i="6"/>
  <c r="I291" i="6"/>
  <c r="H291" i="6"/>
  <c r="J290" i="6"/>
  <c r="I290" i="6"/>
  <c r="H290" i="6"/>
  <c r="J289" i="6"/>
  <c r="I289" i="6"/>
  <c r="H289" i="6"/>
  <c r="J288" i="6"/>
  <c r="I288" i="6"/>
  <c r="H288" i="6"/>
  <c r="J287" i="6"/>
  <c r="I287" i="6"/>
  <c r="H287" i="6"/>
  <c r="J286" i="6"/>
  <c r="I286" i="6"/>
  <c r="H286" i="6"/>
  <c r="J285" i="6"/>
  <c r="I285" i="6"/>
  <c r="H285" i="6"/>
  <c r="J284" i="6"/>
  <c r="I284" i="6"/>
  <c r="H284" i="6"/>
  <c r="J283" i="6"/>
  <c r="I283" i="6"/>
  <c r="H283" i="6"/>
  <c r="J282" i="6"/>
  <c r="I282" i="6"/>
  <c r="H282" i="6"/>
  <c r="J281" i="6"/>
  <c r="I281" i="6"/>
  <c r="H281" i="6"/>
  <c r="J280" i="6"/>
  <c r="I280" i="6"/>
  <c r="H280" i="6"/>
  <c r="J279" i="6"/>
  <c r="I279" i="6"/>
  <c r="H279" i="6"/>
  <c r="J278" i="6"/>
  <c r="I278" i="6"/>
  <c r="H278" i="6"/>
  <c r="J277" i="6"/>
  <c r="I277" i="6"/>
  <c r="H277" i="6"/>
  <c r="J276" i="6"/>
  <c r="I276" i="6"/>
  <c r="H276" i="6"/>
  <c r="J275" i="6"/>
  <c r="I275" i="6"/>
  <c r="H275" i="6"/>
  <c r="J274" i="6"/>
  <c r="I274" i="6"/>
  <c r="H274" i="6"/>
  <c r="J273" i="6"/>
  <c r="I273" i="6"/>
  <c r="H273" i="6"/>
  <c r="J272" i="6"/>
  <c r="I272" i="6"/>
  <c r="H272" i="6"/>
  <c r="J271" i="6"/>
  <c r="I271" i="6"/>
  <c r="H271" i="6"/>
  <c r="J270" i="6"/>
  <c r="I270" i="6"/>
  <c r="H270" i="6"/>
  <c r="J269" i="6"/>
  <c r="I269" i="6"/>
  <c r="H269" i="6"/>
  <c r="J268" i="6"/>
  <c r="I268" i="6"/>
  <c r="H268" i="6"/>
  <c r="J267" i="6"/>
  <c r="I267" i="6"/>
  <c r="H267" i="6"/>
  <c r="J266" i="6"/>
  <c r="I266" i="6"/>
  <c r="H266" i="6"/>
  <c r="J265" i="6"/>
  <c r="I265" i="6"/>
  <c r="H265" i="6"/>
  <c r="J264" i="6"/>
  <c r="I264" i="6"/>
  <c r="H264" i="6"/>
  <c r="J263" i="6"/>
  <c r="I263" i="6"/>
  <c r="H263" i="6"/>
  <c r="J262" i="6"/>
  <c r="I262" i="6"/>
  <c r="H262" i="6"/>
  <c r="J261" i="6"/>
  <c r="I261" i="6"/>
  <c r="H261" i="6"/>
  <c r="J260" i="6"/>
  <c r="I260" i="6"/>
  <c r="H260" i="6"/>
  <c r="J259" i="6"/>
  <c r="I259" i="6"/>
  <c r="H259" i="6"/>
  <c r="J258" i="6"/>
  <c r="I258" i="6"/>
  <c r="H258" i="6"/>
  <c r="J257" i="6"/>
  <c r="I257" i="6"/>
  <c r="H257" i="6"/>
  <c r="J256" i="6"/>
  <c r="I256" i="6"/>
  <c r="H256" i="6"/>
  <c r="J255" i="6"/>
  <c r="I255" i="6"/>
  <c r="H255" i="6"/>
  <c r="J254" i="6"/>
  <c r="I254" i="6"/>
  <c r="H254" i="6"/>
  <c r="J253" i="6"/>
  <c r="I253" i="6"/>
  <c r="H253" i="6"/>
  <c r="J252" i="6"/>
  <c r="I252" i="6"/>
  <c r="H252" i="6"/>
  <c r="J251" i="6"/>
  <c r="I251" i="6"/>
  <c r="H251" i="6"/>
  <c r="J250" i="6"/>
  <c r="I250" i="6"/>
  <c r="H250" i="6"/>
  <c r="J249" i="6"/>
  <c r="I249" i="6"/>
  <c r="H249" i="6"/>
  <c r="J248" i="6"/>
  <c r="I248" i="6"/>
  <c r="H248" i="6"/>
  <c r="J247" i="6"/>
  <c r="I247" i="6"/>
  <c r="H247" i="6"/>
  <c r="J246" i="6"/>
  <c r="I246" i="6"/>
  <c r="H246" i="6"/>
  <c r="J245" i="6"/>
  <c r="I245" i="6"/>
  <c r="H245" i="6"/>
  <c r="J244" i="6"/>
  <c r="I244" i="6"/>
  <c r="H244" i="6"/>
  <c r="J243" i="6"/>
  <c r="I243" i="6"/>
  <c r="H243" i="6"/>
  <c r="J242" i="6"/>
  <c r="I242" i="6"/>
  <c r="H242" i="6"/>
  <c r="J241" i="6"/>
  <c r="I241" i="6"/>
  <c r="H241" i="6"/>
  <c r="J240" i="6"/>
  <c r="I240" i="6"/>
  <c r="H240" i="6"/>
  <c r="J239" i="6"/>
  <c r="I239" i="6"/>
  <c r="H239" i="6"/>
  <c r="J238" i="6"/>
  <c r="I238" i="6"/>
  <c r="H238" i="6"/>
  <c r="J237" i="6"/>
  <c r="I237" i="6"/>
  <c r="H237" i="6"/>
  <c r="J236" i="6"/>
  <c r="I236" i="6"/>
  <c r="H236" i="6"/>
  <c r="J235" i="6"/>
  <c r="I235" i="6"/>
  <c r="H235" i="6"/>
  <c r="J234" i="6"/>
  <c r="I234" i="6"/>
  <c r="H234" i="6"/>
  <c r="J233" i="6"/>
  <c r="I233" i="6"/>
  <c r="H233" i="6"/>
  <c r="J232" i="6"/>
  <c r="I232" i="6"/>
  <c r="H232" i="6"/>
  <c r="J231" i="6"/>
  <c r="I231" i="6"/>
  <c r="H231" i="6"/>
  <c r="J230" i="6"/>
  <c r="I230" i="6"/>
  <c r="H230" i="6"/>
  <c r="J229" i="6"/>
  <c r="I229" i="6"/>
  <c r="H229" i="6"/>
  <c r="J228" i="6"/>
  <c r="I228" i="6"/>
  <c r="H228" i="6"/>
  <c r="J227" i="6"/>
  <c r="I227" i="6"/>
  <c r="H227" i="6"/>
  <c r="J226" i="6"/>
  <c r="I226" i="6"/>
  <c r="H226" i="6"/>
  <c r="J225" i="6"/>
  <c r="I225" i="6"/>
  <c r="H225" i="6"/>
  <c r="J224" i="6"/>
  <c r="I224" i="6"/>
  <c r="H224" i="6"/>
  <c r="J223" i="6"/>
  <c r="I223" i="6"/>
  <c r="H223" i="6"/>
  <c r="J222" i="6"/>
  <c r="I222" i="6"/>
  <c r="H222" i="6"/>
  <c r="J221" i="6"/>
  <c r="I221" i="6"/>
  <c r="H221" i="6"/>
  <c r="J220" i="6"/>
  <c r="I220" i="6"/>
  <c r="H220" i="6"/>
  <c r="J219" i="6"/>
  <c r="I219" i="6"/>
  <c r="H219" i="6"/>
  <c r="J218" i="6"/>
  <c r="I218" i="6"/>
  <c r="H218" i="6"/>
  <c r="J217" i="6"/>
  <c r="I217" i="6"/>
  <c r="H217" i="6"/>
  <c r="J216" i="6"/>
  <c r="I216" i="6"/>
  <c r="H216" i="6"/>
  <c r="J215" i="6"/>
  <c r="I215" i="6"/>
  <c r="H215" i="6"/>
  <c r="J214" i="6"/>
  <c r="I214" i="6"/>
  <c r="H214" i="6"/>
  <c r="J213" i="6"/>
  <c r="I213" i="6"/>
  <c r="H213" i="6"/>
  <c r="J212" i="6"/>
  <c r="I212" i="6"/>
  <c r="H212" i="6"/>
  <c r="J211" i="6"/>
  <c r="I211" i="6"/>
  <c r="H211" i="6"/>
  <c r="J210" i="6"/>
  <c r="I210" i="6"/>
  <c r="H210" i="6"/>
  <c r="J209" i="6"/>
  <c r="I209" i="6"/>
  <c r="H209" i="6"/>
  <c r="J208" i="6"/>
  <c r="I208" i="6"/>
  <c r="H208" i="6"/>
  <c r="J207" i="6"/>
  <c r="I207" i="6"/>
  <c r="H207" i="6"/>
  <c r="J206" i="6"/>
  <c r="I206" i="6"/>
  <c r="H206" i="6"/>
  <c r="J205" i="6"/>
  <c r="I205" i="6"/>
  <c r="H205" i="6"/>
  <c r="J204" i="6"/>
  <c r="I204" i="6"/>
  <c r="H204" i="6"/>
  <c r="J203" i="6"/>
  <c r="I203" i="6"/>
  <c r="H203" i="6"/>
  <c r="J202" i="6"/>
  <c r="I202" i="6"/>
  <c r="H202" i="6"/>
  <c r="J201" i="6"/>
  <c r="I201" i="6"/>
  <c r="H201" i="6"/>
  <c r="J200" i="6"/>
  <c r="I200" i="6"/>
  <c r="H200" i="6"/>
  <c r="J199" i="6"/>
  <c r="I199" i="6"/>
  <c r="H199" i="6"/>
  <c r="J198" i="6"/>
  <c r="I198" i="6"/>
  <c r="H198" i="6"/>
  <c r="J197" i="6"/>
  <c r="I197" i="6"/>
  <c r="H197" i="6"/>
  <c r="J196" i="6"/>
  <c r="I196" i="6"/>
  <c r="H196" i="6"/>
  <c r="J195" i="6"/>
  <c r="I195" i="6"/>
  <c r="H195" i="6"/>
  <c r="J194" i="6"/>
  <c r="I194" i="6"/>
  <c r="H194" i="6"/>
  <c r="J193" i="6"/>
  <c r="I193" i="6"/>
  <c r="H193" i="6"/>
  <c r="J192" i="6"/>
  <c r="I192" i="6"/>
  <c r="H192" i="6"/>
  <c r="J191" i="6"/>
  <c r="I191" i="6"/>
  <c r="H191" i="6"/>
  <c r="J190" i="6"/>
  <c r="I190" i="6"/>
  <c r="H190" i="6"/>
  <c r="J189" i="6"/>
  <c r="I189" i="6"/>
  <c r="H189" i="6"/>
  <c r="J188" i="6"/>
  <c r="I188" i="6"/>
  <c r="H188" i="6"/>
  <c r="J187" i="6"/>
  <c r="I187" i="6"/>
  <c r="H187" i="6"/>
  <c r="J186" i="6"/>
  <c r="I186" i="6"/>
  <c r="H186" i="6"/>
  <c r="J185" i="6"/>
  <c r="I185" i="6"/>
  <c r="H185" i="6"/>
  <c r="J184" i="6"/>
  <c r="I184" i="6"/>
  <c r="H184" i="6"/>
  <c r="J183" i="6"/>
  <c r="I183" i="6"/>
  <c r="H183" i="6"/>
  <c r="J182" i="6"/>
  <c r="I182" i="6"/>
  <c r="H182" i="6"/>
  <c r="J181" i="6"/>
  <c r="I181" i="6"/>
  <c r="H181" i="6"/>
  <c r="J180" i="6"/>
  <c r="I180" i="6"/>
  <c r="H180" i="6"/>
  <c r="J179" i="6"/>
  <c r="I179" i="6"/>
  <c r="H179" i="6"/>
  <c r="J178" i="6"/>
  <c r="I178" i="6"/>
  <c r="H178" i="6"/>
  <c r="J177" i="6"/>
  <c r="I177" i="6"/>
  <c r="H177" i="6"/>
  <c r="J176" i="6"/>
  <c r="I176" i="6"/>
  <c r="H176" i="6"/>
  <c r="J175" i="6"/>
  <c r="I175" i="6"/>
  <c r="H175" i="6"/>
  <c r="J174" i="6"/>
  <c r="I174" i="6"/>
  <c r="H174" i="6"/>
  <c r="J173" i="6"/>
  <c r="I173" i="6"/>
  <c r="H173" i="6"/>
  <c r="J172" i="6"/>
  <c r="I172" i="6"/>
  <c r="H172" i="6"/>
  <c r="J171" i="6"/>
  <c r="I171" i="6"/>
  <c r="H171" i="6"/>
  <c r="J170" i="6"/>
  <c r="I170" i="6"/>
  <c r="H170" i="6"/>
  <c r="J169" i="6"/>
  <c r="I169" i="6"/>
  <c r="H169" i="6"/>
  <c r="J168" i="6"/>
  <c r="I168" i="6"/>
  <c r="H168" i="6"/>
  <c r="J167" i="6"/>
  <c r="I167" i="6"/>
  <c r="H167" i="6"/>
  <c r="J166" i="6"/>
  <c r="I166" i="6"/>
  <c r="H166" i="6"/>
  <c r="J165" i="6"/>
  <c r="I165" i="6"/>
  <c r="H165" i="6"/>
  <c r="J164" i="6"/>
  <c r="I164" i="6"/>
  <c r="H164" i="6"/>
  <c r="J163" i="6"/>
  <c r="I163" i="6"/>
  <c r="H163" i="6"/>
  <c r="J162" i="6"/>
  <c r="I162" i="6"/>
  <c r="H162" i="6"/>
  <c r="J161" i="6"/>
  <c r="I161" i="6"/>
  <c r="H161" i="6"/>
  <c r="J160" i="6"/>
  <c r="I160" i="6"/>
  <c r="H160" i="6"/>
  <c r="J159" i="6"/>
  <c r="I159" i="6"/>
  <c r="H159" i="6"/>
  <c r="J158" i="6"/>
  <c r="I158" i="6"/>
  <c r="H158" i="6"/>
  <c r="J157" i="6"/>
  <c r="I157" i="6"/>
  <c r="H157" i="6"/>
  <c r="J156" i="6"/>
  <c r="I156" i="6"/>
  <c r="H156" i="6"/>
  <c r="J155" i="6"/>
  <c r="I155" i="6"/>
  <c r="H155" i="6"/>
  <c r="J154" i="6"/>
  <c r="I154" i="6"/>
  <c r="H154" i="6"/>
  <c r="J153" i="6"/>
  <c r="I153" i="6"/>
  <c r="H153" i="6"/>
  <c r="J152" i="6"/>
  <c r="I152" i="6"/>
  <c r="H152" i="6"/>
  <c r="J151" i="6"/>
  <c r="I151" i="6"/>
  <c r="H151" i="6"/>
  <c r="J150" i="6"/>
  <c r="I150" i="6"/>
  <c r="H150" i="6"/>
  <c r="J149" i="6"/>
  <c r="I149" i="6"/>
  <c r="H149" i="6"/>
  <c r="J148" i="6"/>
  <c r="I148" i="6"/>
  <c r="H148" i="6"/>
  <c r="J147" i="6"/>
  <c r="I147" i="6"/>
  <c r="H147" i="6"/>
  <c r="J146" i="6"/>
  <c r="I146" i="6"/>
  <c r="H146" i="6"/>
  <c r="J145" i="6"/>
  <c r="I145" i="6"/>
  <c r="H145" i="6"/>
  <c r="J144" i="6"/>
  <c r="I144" i="6"/>
  <c r="H144" i="6"/>
  <c r="J143" i="6"/>
  <c r="I143" i="6"/>
  <c r="H143" i="6"/>
  <c r="J142" i="6"/>
  <c r="I142" i="6"/>
  <c r="H142" i="6"/>
  <c r="J141" i="6"/>
  <c r="I141" i="6"/>
  <c r="H141" i="6"/>
  <c r="J140" i="6"/>
  <c r="I140" i="6"/>
  <c r="H140" i="6"/>
  <c r="J139" i="6"/>
  <c r="I139" i="6"/>
  <c r="H139" i="6"/>
  <c r="J138" i="6"/>
  <c r="I138" i="6"/>
  <c r="H138" i="6"/>
  <c r="J137" i="6"/>
  <c r="I137" i="6"/>
  <c r="H137" i="6"/>
  <c r="J136" i="6"/>
  <c r="I136" i="6"/>
  <c r="H136" i="6"/>
  <c r="J135" i="6"/>
  <c r="I135" i="6"/>
  <c r="H135" i="6"/>
  <c r="J134" i="6"/>
  <c r="I134" i="6"/>
  <c r="H134" i="6"/>
  <c r="J133" i="6"/>
  <c r="I133" i="6"/>
  <c r="H133" i="6"/>
  <c r="J132" i="6"/>
  <c r="I132" i="6"/>
  <c r="H132" i="6"/>
  <c r="J131" i="6"/>
  <c r="I131" i="6"/>
  <c r="H131" i="6"/>
  <c r="J130" i="6"/>
  <c r="I130" i="6"/>
  <c r="H130" i="6"/>
  <c r="J129" i="6"/>
  <c r="I129" i="6"/>
  <c r="H129" i="6"/>
  <c r="J128" i="6"/>
  <c r="I128" i="6"/>
  <c r="H128" i="6"/>
  <c r="J127" i="6"/>
  <c r="I127" i="6"/>
  <c r="H127" i="6"/>
  <c r="J126" i="6"/>
  <c r="I126" i="6"/>
  <c r="H126" i="6"/>
  <c r="J125" i="6"/>
  <c r="I125" i="6"/>
  <c r="H125" i="6"/>
  <c r="J124" i="6"/>
  <c r="I124" i="6"/>
  <c r="H124" i="6"/>
  <c r="J123" i="6"/>
  <c r="I123" i="6"/>
  <c r="H123" i="6"/>
  <c r="J122" i="6"/>
  <c r="I122" i="6"/>
  <c r="H122" i="6"/>
  <c r="J121" i="6"/>
  <c r="I121" i="6"/>
  <c r="H121" i="6"/>
  <c r="J120" i="6"/>
  <c r="I120" i="6"/>
  <c r="H120" i="6"/>
  <c r="J119" i="6"/>
  <c r="I119" i="6"/>
  <c r="H119" i="6"/>
  <c r="J118" i="6"/>
  <c r="I118" i="6"/>
  <c r="H118" i="6"/>
  <c r="J117" i="6"/>
  <c r="I117" i="6"/>
  <c r="H117" i="6"/>
  <c r="J116" i="6"/>
  <c r="I116" i="6"/>
  <c r="H116" i="6"/>
  <c r="J115" i="6"/>
  <c r="I115" i="6"/>
  <c r="H115" i="6"/>
  <c r="J114" i="6"/>
  <c r="I114" i="6"/>
  <c r="H114" i="6"/>
  <c r="J113" i="6"/>
  <c r="I113" i="6"/>
  <c r="H113" i="6"/>
  <c r="J112" i="6"/>
  <c r="I112" i="6"/>
  <c r="H112" i="6"/>
  <c r="J111" i="6"/>
  <c r="I111" i="6"/>
  <c r="H111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I104" i="6"/>
  <c r="H104" i="6"/>
  <c r="J103" i="6"/>
  <c r="I103" i="6"/>
  <c r="H103" i="6"/>
  <c r="J102" i="6"/>
  <c r="I102" i="6"/>
  <c r="H102" i="6"/>
  <c r="J101" i="6"/>
  <c r="I101" i="6"/>
  <c r="H101" i="6"/>
  <c r="J100" i="6"/>
  <c r="I100" i="6"/>
  <c r="H100" i="6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J5" i="6"/>
  <c r="I5" i="6"/>
  <c r="H5" i="6"/>
  <c r="J4" i="6"/>
  <c r="I4" i="6"/>
  <c r="H4" i="6"/>
  <c r="J3" i="6"/>
  <c r="I3" i="6"/>
  <c r="H3" i="6"/>
  <c r="J2" i="6"/>
  <c r="I2" i="6"/>
  <c r="H2" i="6"/>
  <c r="H242" i="4"/>
  <c r="I242" i="4"/>
  <c r="J242" i="4"/>
  <c r="H243" i="4"/>
  <c r="I243" i="4"/>
  <c r="J243" i="4"/>
  <c r="H244" i="4"/>
  <c r="I244" i="4"/>
  <c r="J244" i="4"/>
  <c r="H245" i="4"/>
  <c r="I245" i="4"/>
  <c r="J245" i="4"/>
  <c r="H246" i="4"/>
  <c r="I246" i="4"/>
  <c r="J246" i="4"/>
  <c r="H247" i="4"/>
  <c r="I247" i="4"/>
  <c r="J247" i="4"/>
  <c r="H248" i="4"/>
  <c r="I248" i="4"/>
  <c r="J248" i="4"/>
  <c r="H249" i="4"/>
  <c r="I249" i="4"/>
  <c r="J249" i="4"/>
  <c r="H250" i="4"/>
  <c r="I250" i="4"/>
  <c r="J250" i="4"/>
  <c r="H251" i="4"/>
  <c r="I251" i="4"/>
  <c r="J251" i="4"/>
  <c r="H252" i="4"/>
  <c r="I252" i="4"/>
  <c r="J252" i="4"/>
  <c r="H253" i="4"/>
  <c r="I253" i="4"/>
  <c r="J253" i="4"/>
  <c r="H254" i="4"/>
  <c r="I254" i="4"/>
  <c r="J254" i="4"/>
  <c r="H255" i="4"/>
  <c r="I255" i="4"/>
  <c r="J255" i="4"/>
  <c r="H256" i="4"/>
  <c r="I256" i="4"/>
  <c r="J256" i="4"/>
  <c r="H257" i="4"/>
  <c r="I257" i="4"/>
  <c r="J257" i="4"/>
  <c r="H258" i="4"/>
  <c r="I258" i="4"/>
  <c r="J258" i="4"/>
  <c r="H259" i="4"/>
  <c r="I259" i="4"/>
  <c r="J259" i="4"/>
  <c r="H260" i="4"/>
  <c r="I260" i="4"/>
  <c r="J260" i="4"/>
  <c r="H261" i="4"/>
  <c r="I261" i="4"/>
  <c r="J261" i="4"/>
  <c r="H262" i="4"/>
  <c r="I262" i="4"/>
  <c r="J262" i="4"/>
  <c r="H263" i="4"/>
  <c r="I263" i="4"/>
  <c r="J263" i="4"/>
  <c r="H264" i="4"/>
  <c r="I264" i="4"/>
  <c r="J264" i="4"/>
  <c r="H265" i="4"/>
  <c r="I265" i="4"/>
  <c r="J265" i="4"/>
  <c r="H266" i="4"/>
  <c r="I266" i="4"/>
  <c r="J266" i="4"/>
  <c r="H267" i="4"/>
  <c r="I267" i="4"/>
  <c r="J267" i="4"/>
  <c r="H268" i="4"/>
  <c r="I268" i="4"/>
  <c r="J268" i="4"/>
  <c r="H269" i="4"/>
  <c r="I269" i="4"/>
  <c r="J269" i="4"/>
  <c r="H270" i="4"/>
  <c r="I270" i="4"/>
  <c r="J270" i="4"/>
  <c r="H271" i="4"/>
  <c r="I271" i="4"/>
  <c r="J271" i="4"/>
  <c r="H272" i="4"/>
  <c r="I272" i="4"/>
  <c r="J272" i="4"/>
  <c r="H273" i="4"/>
  <c r="I273" i="4"/>
  <c r="J273" i="4"/>
  <c r="H274" i="4"/>
  <c r="I274" i="4"/>
  <c r="J274" i="4"/>
  <c r="H275" i="4"/>
  <c r="I275" i="4"/>
  <c r="J275" i="4"/>
  <c r="H276" i="4"/>
  <c r="I276" i="4"/>
  <c r="J276" i="4"/>
  <c r="H277" i="4"/>
  <c r="I277" i="4"/>
  <c r="J277" i="4"/>
  <c r="H278" i="4"/>
  <c r="I278" i="4"/>
  <c r="J278" i="4"/>
  <c r="H279" i="4"/>
  <c r="I279" i="4"/>
  <c r="J279" i="4"/>
  <c r="H280" i="4"/>
  <c r="I280" i="4"/>
  <c r="J280" i="4"/>
  <c r="H281" i="4"/>
  <c r="I281" i="4"/>
  <c r="J281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" i="4"/>
  <c r="J241" i="4"/>
  <c r="I241" i="4"/>
  <c r="H241" i="4"/>
  <c r="J240" i="4"/>
  <c r="I240" i="4"/>
  <c r="H240" i="4"/>
  <c r="J239" i="4"/>
  <c r="I239" i="4"/>
  <c r="H239" i="4"/>
  <c r="J238" i="4"/>
  <c r="I238" i="4"/>
  <c r="H238" i="4"/>
  <c r="J237" i="4"/>
  <c r="I237" i="4"/>
  <c r="H237" i="4"/>
  <c r="J236" i="4"/>
  <c r="I236" i="4"/>
  <c r="H236" i="4"/>
  <c r="J235" i="4"/>
  <c r="I235" i="4"/>
  <c r="H235" i="4"/>
  <c r="J234" i="4"/>
  <c r="I234" i="4"/>
  <c r="H234" i="4"/>
  <c r="J233" i="4"/>
  <c r="I233" i="4"/>
  <c r="H233" i="4"/>
  <c r="J232" i="4"/>
  <c r="I232" i="4"/>
  <c r="H232" i="4"/>
  <c r="J231" i="4"/>
  <c r="I231" i="4"/>
  <c r="H231" i="4"/>
  <c r="J230" i="4"/>
  <c r="I230" i="4"/>
  <c r="H230" i="4"/>
  <c r="J229" i="4"/>
  <c r="I229" i="4"/>
  <c r="H229" i="4"/>
  <c r="J228" i="4"/>
  <c r="I228" i="4"/>
  <c r="H228" i="4"/>
  <c r="J227" i="4"/>
  <c r="I227" i="4"/>
  <c r="H227" i="4"/>
  <c r="J226" i="4"/>
  <c r="I226" i="4"/>
  <c r="H226" i="4"/>
  <c r="J225" i="4"/>
  <c r="I225" i="4"/>
  <c r="H225" i="4"/>
  <c r="J224" i="4"/>
  <c r="I224" i="4"/>
  <c r="H224" i="4"/>
  <c r="J223" i="4"/>
  <c r="I223" i="4"/>
  <c r="H223" i="4"/>
  <c r="J222" i="4"/>
  <c r="I222" i="4"/>
  <c r="H222" i="4"/>
  <c r="J221" i="4"/>
  <c r="I221" i="4"/>
  <c r="H221" i="4"/>
  <c r="J220" i="4"/>
  <c r="I220" i="4"/>
  <c r="H220" i="4"/>
  <c r="J219" i="4"/>
  <c r="I219" i="4"/>
  <c r="H219" i="4"/>
  <c r="J218" i="4"/>
  <c r="I218" i="4"/>
  <c r="H218" i="4"/>
  <c r="J217" i="4"/>
  <c r="I217" i="4"/>
  <c r="H217" i="4"/>
  <c r="J216" i="4"/>
  <c r="I216" i="4"/>
  <c r="H216" i="4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209" i="4"/>
  <c r="I209" i="4"/>
  <c r="H209" i="4"/>
  <c r="J208" i="4"/>
  <c r="I208" i="4"/>
  <c r="H208" i="4"/>
  <c r="J207" i="4"/>
  <c r="I207" i="4"/>
  <c r="H207" i="4"/>
  <c r="J206" i="4"/>
  <c r="I206" i="4"/>
  <c r="H206" i="4"/>
  <c r="J205" i="4"/>
  <c r="I205" i="4"/>
  <c r="H205" i="4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98" i="4"/>
  <c r="I198" i="4"/>
  <c r="H198" i="4"/>
  <c r="J197" i="4"/>
  <c r="I197" i="4"/>
  <c r="H197" i="4"/>
  <c r="J196" i="4"/>
  <c r="I196" i="4"/>
  <c r="H196" i="4"/>
  <c r="J195" i="4"/>
  <c r="I195" i="4"/>
  <c r="H195" i="4"/>
  <c r="J194" i="4"/>
  <c r="I194" i="4"/>
  <c r="H194" i="4"/>
  <c r="J193" i="4"/>
  <c r="I193" i="4"/>
  <c r="H193" i="4"/>
  <c r="J192" i="4"/>
  <c r="I192" i="4"/>
  <c r="H192" i="4"/>
  <c r="J191" i="4"/>
  <c r="I191" i="4"/>
  <c r="H191" i="4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J185" i="4"/>
  <c r="I185" i="4"/>
  <c r="H185" i="4"/>
  <c r="J184" i="4"/>
  <c r="I184" i="4"/>
  <c r="H184" i="4"/>
  <c r="J183" i="4"/>
  <c r="I183" i="4"/>
  <c r="H183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J177" i="4"/>
  <c r="I177" i="4"/>
  <c r="H177" i="4"/>
  <c r="J176" i="4"/>
  <c r="I176" i="4"/>
  <c r="H176" i="4"/>
  <c r="J175" i="4"/>
  <c r="I175" i="4"/>
  <c r="H175" i="4"/>
  <c r="J174" i="4"/>
  <c r="I174" i="4"/>
  <c r="H174" i="4"/>
  <c r="J173" i="4"/>
  <c r="I173" i="4"/>
  <c r="H173" i="4"/>
  <c r="J172" i="4"/>
  <c r="I172" i="4"/>
  <c r="H172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J165" i="4"/>
  <c r="I165" i="4"/>
  <c r="H165" i="4"/>
  <c r="J164" i="4"/>
  <c r="I164" i="4"/>
  <c r="H164" i="4"/>
  <c r="J163" i="4"/>
  <c r="I163" i="4"/>
  <c r="H163" i="4"/>
  <c r="J162" i="4"/>
  <c r="I162" i="4"/>
  <c r="H162" i="4"/>
  <c r="J161" i="4"/>
  <c r="I161" i="4"/>
  <c r="H161" i="4"/>
  <c r="J160" i="4"/>
  <c r="I160" i="4"/>
  <c r="H160" i="4"/>
  <c r="J159" i="4"/>
  <c r="I159" i="4"/>
  <c r="H159" i="4"/>
  <c r="J158" i="4"/>
  <c r="I158" i="4"/>
  <c r="H158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J148" i="4"/>
  <c r="I148" i="4"/>
  <c r="H148" i="4"/>
  <c r="J147" i="4"/>
  <c r="I147" i="4"/>
  <c r="H147" i="4"/>
  <c r="J146" i="4"/>
  <c r="I146" i="4"/>
  <c r="H146" i="4"/>
  <c r="J145" i="4"/>
  <c r="I145" i="4"/>
  <c r="H145" i="4"/>
  <c r="J144" i="4"/>
  <c r="I144" i="4"/>
  <c r="H144" i="4"/>
  <c r="J143" i="4"/>
  <c r="I143" i="4"/>
  <c r="H143" i="4"/>
  <c r="J142" i="4"/>
  <c r="I142" i="4"/>
  <c r="H142" i="4"/>
  <c r="J141" i="4"/>
  <c r="I141" i="4"/>
  <c r="H141" i="4"/>
  <c r="J140" i="4"/>
  <c r="I140" i="4"/>
  <c r="H140" i="4"/>
  <c r="J139" i="4"/>
  <c r="I139" i="4"/>
  <c r="H139" i="4"/>
  <c r="J138" i="4"/>
  <c r="I138" i="4"/>
  <c r="H13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119" i="4"/>
  <c r="I119" i="4"/>
  <c r="H119" i="4"/>
  <c r="J118" i="4"/>
  <c r="I118" i="4"/>
  <c r="H118" i="4"/>
  <c r="J117" i="4"/>
  <c r="I117" i="4"/>
  <c r="H117" i="4"/>
  <c r="J116" i="4"/>
  <c r="I116" i="4"/>
  <c r="H116" i="4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AO21" i="4"/>
  <c r="AN21" i="4"/>
  <c r="AM21" i="4"/>
  <c r="J21" i="4"/>
  <c r="I21" i="4"/>
  <c r="H21" i="4"/>
  <c r="AO20" i="4"/>
  <c r="AN20" i="4"/>
  <c r="AM20" i="4"/>
  <c r="J20" i="4"/>
  <c r="I20" i="4"/>
  <c r="H20" i="4"/>
  <c r="AO19" i="4"/>
  <c r="AN19" i="4"/>
  <c r="AM19" i="4"/>
  <c r="J19" i="4"/>
  <c r="I19" i="4"/>
  <c r="H19" i="4"/>
  <c r="AO18" i="4"/>
  <c r="AN18" i="4"/>
  <c r="AM18" i="4"/>
  <c r="J18" i="4"/>
  <c r="I18" i="4"/>
  <c r="H18" i="4"/>
  <c r="AO17" i="4"/>
  <c r="AN17" i="4"/>
  <c r="AM17" i="4"/>
  <c r="J17" i="4"/>
  <c r="I17" i="4"/>
  <c r="H17" i="4"/>
  <c r="AO16" i="4"/>
  <c r="AN16" i="4"/>
  <c r="AM16" i="4"/>
  <c r="J16" i="4"/>
  <c r="I16" i="4"/>
  <c r="H16" i="4"/>
  <c r="AO15" i="4"/>
  <c r="AN15" i="4"/>
  <c r="AM15" i="4"/>
  <c r="J15" i="4"/>
  <c r="I15" i="4"/>
  <c r="H15" i="4"/>
  <c r="AO14" i="4"/>
  <c r="AN14" i="4"/>
  <c r="AM14" i="4"/>
  <c r="J14" i="4"/>
  <c r="I14" i="4"/>
  <c r="H14" i="4"/>
  <c r="AO13" i="4"/>
  <c r="AN13" i="4"/>
  <c r="AM13" i="4"/>
  <c r="J13" i="4"/>
  <c r="I13" i="4"/>
  <c r="H13" i="4"/>
  <c r="AO12" i="4"/>
  <c r="AN12" i="4"/>
  <c r="AM12" i="4"/>
  <c r="J12" i="4"/>
  <c r="I12" i="4"/>
  <c r="H12" i="4"/>
  <c r="AO11" i="4"/>
  <c r="AN11" i="4"/>
  <c r="AM11" i="4"/>
  <c r="J11" i="4"/>
  <c r="I11" i="4"/>
  <c r="H11" i="4"/>
  <c r="AO10" i="4"/>
  <c r="AN10" i="4"/>
  <c r="AM10" i="4"/>
  <c r="J10" i="4"/>
  <c r="I10" i="4"/>
  <c r="H10" i="4"/>
  <c r="AO9" i="4"/>
  <c r="AN9" i="4"/>
  <c r="AM9" i="4"/>
  <c r="J9" i="4"/>
  <c r="I9" i="4"/>
  <c r="H9" i="4"/>
  <c r="AO8" i="4"/>
  <c r="AN8" i="4"/>
  <c r="AM8" i="4"/>
  <c r="J8" i="4"/>
  <c r="I8" i="4"/>
  <c r="H8" i="4"/>
  <c r="AO7" i="4"/>
  <c r="AN7" i="4"/>
  <c r="AM7" i="4"/>
  <c r="J7" i="4"/>
  <c r="I7" i="4"/>
  <c r="H7" i="4"/>
  <c r="AO6" i="4"/>
  <c r="AN6" i="4"/>
  <c r="AM6" i="4"/>
  <c r="J6" i="4"/>
  <c r="I6" i="4"/>
  <c r="H6" i="4"/>
  <c r="AO5" i="4"/>
  <c r="AN5" i="4"/>
  <c r="AM5" i="4"/>
  <c r="J5" i="4"/>
  <c r="I5" i="4"/>
  <c r="H5" i="4"/>
  <c r="AO4" i="4"/>
  <c r="AN4" i="4"/>
  <c r="AM4" i="4"/>
  <c r="J4" i="4"/>
  <c r="I4" i="4"/>
  <c r="H4" i="4"/>
  <c r="AO3" i="4"/>
  <c r="AN3" i="4"/>
  <c r="AM3" i="4"/>
  <c r="J3" i="4"/>
  <c r="I3" i="4"/>
  <c r="H3" i="4"/>
  <c r="AO2" i="4"/>
  <c r="AN2" i="4"/>
  <c r="AM2" i="4"/>
  <c r="J2" i="4"/>
  <c r="I2" i="4"/>
  <c r="H2" i="4"/>
  <c r="AN1" i="4"/>
  <c r="AO2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" i="1"/>
  <c r="AN1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" i="1"/>
  <c r="H234" i="2"/>
  <c r="I234" i="2"/>
  <c r="J234" i="2"/>
  <c r="H235" i="2"/>
  <c r="I235" i="2"/>
  <c r="J235" i="2"/>
  <c r="H236" i="2"/>
  <c r="I236" i="2"/>
  <c r="J236" i="2"/>
  <c r="H237" i="2"/>
  <c r="I237" i="2"/>
  <c r="J237" i="2"/>
  <c r="H238" i="2"/>
  <c r="I238" i="2"/>
  <c r="J238" i="2"/>
  <c r="H239" i="2"/>
  <c r="I239" i="2"/>
  <c r="J239" i="2"/>
  <c r="H240" i="2"/>
  <c r="I240" i="2"/>
  <c r="J240" i="2"/>
  <c r="H241" i="2"/>
  <c r="I241" i="2"/>
  <c r="J241" i="2"/>
  <c r="H242" i="2"/>
  <c r="I242" i="2"/>
  <c r="J242" i="2"/>
  <c r="H243" i="2"/>
  <c r="I243" i="2"/>
  <c r="J243" i="2"/>
  <c r="H244" i="2"/>
  <c r="I244" i="2"/>
  <c r="J244" i="2"/>
  <c r="H245" i="2"/>
  <c r="I245" i="2"/>
  <c r="J245" i="2"/>
  <c r="H246" i="2"/>
  <c r="I246" i="2"/>
  <c r="J246" i="2"/>
  <c r="H247" i="2"/>
  <c r="I247" i="2"/>
  <c r="J247" i="2"/>
  <c r="H248" i="2"/>
  <c r="I248" i="2"/>
  <c r="J248" i="2"/>
  <c r="H249" i="2"/>
  <c r="I249" i="2"/>
  <c r="J249" i="2"/>
  <c r="H250" i="2"/>
  <c r="I250" i="2"/>
  <c r="J250" i="2"/>
  <c r="H251" i="2"/>
  <c r="I251" i="2"/>
  <c r="J251" i="2"/>
  <c r="H252" i="2"/>
  <c r="I252" i="2"/>
  <c r="J252" i="2"/>
  <c r="H253" i="2"/>
  <c r="I253" i="2"/>
  <c r="J253" i="2"/>
  <c r="H254" i="2"/>
  <c r="I254" i="2"/>
  <c r="J254" i="2"/>
  <c r="H255" i="2"/>
  <c r="I255" i="2"/>
  <c r="J255" i="2"/>
  <c r="H256" i="2"/>
  <c r="I256" i="2"/>
  <c r="J256" i="2"/>
  <c r="H257" i="2"/>
  <c r="I257" i="2"/>
  <c r="J257" i="2"/>
  <c r="H258" i="2"/>
  <c r="I258" i="2"/>
  <c r="J258" i="2"/>
  <c r="H259" i="2"/>
  <c r="I259" i="2"/>
  <c r="J259" i="2"/>
  <c r="H260" i="2"/>
  <c r="I260" i="2"/>
  <c r="J260" i="2"/>
  <c r="H261" i="2"/>
  <c r="I261" i="2"/>
  <c r="J261" i="2"/>
  <c r="H262" i="2"/>
  <c r="I262" i="2"/>
  <c r="J262" i="2"/>
  <c r="H263" i="2"/>
  <c r="I263" i="2"/>
  <c r="J263" i="2"/>
  <c r="H264" i="2"/>
  <c r="I264" i="2"/>
  <c r="J264" i="2"/>
  <c r="H265" i="2"/>
  <c r="I265" i="2"/>
  <c r="J265" i="2"/>
  <c r="H266" i="2"/>
  <c r="I266" i="2"/>
  <c r="J266" i="2"/>
  <c r="H267" i="2"/>
  <c r="I267" i="2"/>
  <c r="J267" i="2"/>
  <c r="H268" i="2"/>
  <c r="I268" i="2"/>
  <c r="J268" i="2"/>
  <c r="H269" i="2"/>
  <c r="I269" i="2"/>
  <c r="J269" i="2"/>
  <c r="H270" i="2"/>
  <c r="I270" i="2"/>
  <c r="J270" i="2"/>
  <c r="H271" i="2"/>
  <c r="I271" i="2"/>
  <c r="J271" i="2"/>
  <c r="H272" i="2"/>
  <c r="I272" i="2"/>
  <c r="J272" i="2"/>
  <c r="H273" i="2"/>
  <c r="I273" i="2"/>
  <c r="J273" i="2"/>
  <c r="H274" i="2"/>
  <c r="I274" i="2"/>
  <c r="J274" i="2"/>
  <c r="H275" i="2"/>
  <c r="I275" i="2"/>
  <c r="J275" i="2"/>
  <c r="H276" i="2"/>
  <c r="I276" i="2"/>
  <c r="J276" i="2"/>
  <c r="H277" i="2"/>
  <c r="I277" i="2"/>
  <c r="J277" i="2"/>
  <c r="H278" i="2"/>
  <c r="I278" i="2"/>
  <c r="J278" i="2"/>
  <c r="H279" i="2"/>
  <c r="I279" i="2"/>
  <c r="J279" i="2"/>
  <c r="H280" i="2"/>
  <c r="I280" i="2"/>
  <c r="J280" i="2"/>
  <c r="H281" i="2"/>
  <c r="I281" i="2"/>
  <c r="J281" i="2"/>
  <c r="H282" i="2"/>
  <c r="I282" i="2"/>
  <c r="J282" i="2"/>
  <c r="H283" i="2"/>
  <c r="I283" i="2"/>
  <c r="J283" i="2"/>
  <c r="H284" i="2"/>
  <c r="I284" i="2"/>
  <c r="J284" i="2"/>
  <c r="H285" i="2"/>
  <c r="I285" i="2"/>
  <c r="J285" i="2"/>
  <c r="H286" i="2"/>
  <c r="I286" i="2"/>
  <c r="J286" i="2"/>
  <c r="H287" i="2"/>
  <c r="I287" i="2"/>
  <c r="J287" i="2"/>
  <c r="H288" i="2"/>
  <c r="I288" i="2"/>
  <c r="J288" i="2"/>
  <c r="H289" i="2"/>
  <c r="I289" i="2"/>
  <c r="J289" i="2"/>
  <c r="H290" i="2"/>
  <c r="I290" i="2"/>
  <c r="J290" i="2"/>
  <c r="H291" i="2"/>
  <c r="I291" i="2"/>
  <c r="J291" i="2"/>
  <c r="H292" i="2"/>
  <c r="I292" i="2"/>
  <c r="J292" i="2"/>
  <c r="H293" i="2"/>
  <c r="I293" i="2"/>
  <c r="J293" i="2"/>
  <c r="H294" i="2"/>
  <c r="I294" i="2"/>
  <c r="J294" i="2"/>
  <c r="H295" i="2"/>
  <c r="I295" i="2"/>
  <c r="J295" i="2"/>
  <c r="H296" i="2"/>
  <c r="I296" i="2"/>
  <c r="J296" i="2"/>
  <c r="H297" i="2"/>
  <c r="I297" i="2"/>
  <c r="J297" i="2"/>
  <c r="H298" i="2"/>
  <c r="I298" i="2"/>
  <c r="J298" i="2"/>
  <c r="H299" i="2"/>
  <c r="I299" i="2"/>
  <c r="J299" i="2"/>
  <c r="H300" i="2"/>
  <c r="I300" i="2"/>
  <c r="J300" i="2"/>
  <c r="H301" i="2"/>
  <c r="I301" i="2"/>
  <c r="J301" i="2"/>
  <c r="H302" i="2"/>
  <c r="I302" i="2"/>
  <c r="J302" i="2"/>
  <c r="H303" i="2"/>
  <c r="I303" i="2"/>
  <c r="J303" i="2"/>
  <c r="H304" i="2"/>
  <c r="I304" i="2"/>
  <c r="J304" i="2"/>
  <c r="H305" i="2"/>
  <c r="I305" i="2"/>
  <c r="J305" i="2"/>
  <c r="H306" i="2"/>
  <c r="I306" i="2"/>
  <c r="J306" i="2"/>
  <c r="H307" i="2"/>
  <c r="I307" i="2"/>
  <c r="J307" i="2"/>
  <c r="H308" i="2"/>
  <c r="I308" i="2"/>
  <c r="J308" i="2"/>
  <c r="H309" i="2"/>
  <c r="I309" i="2"/>
  <c r="J309" i="2"/>
  <c r="H310" i="2"/>
  <c r="I310" i="2"/>
  <c r="J310" i="2"/>
  <c r="H311" i="2"/>
  <c r="I311" i="2"/>
  <c r="J311" i="2"/>
  <c r="H312" i="2"/>
  <c r="I312" i="2"/>
  <c r="J312" i="2"/>
  <c r="H313" i="2"/>
  <c r="I313" i="2"/>
  <c r="J313" i="2"/>
  <c r="H314" i="2"/>
  <c r="I314" i="2"/>
  <c r="J314" i="2"/>
  <c r="H315" i="2"/>
  <c r="I315" i="2"/>
  <c r="J315" i="2"/>
  <c r="H316" i="2"/>
  <c r="I316" i="2"/>
  <c r="J316" i="2"/>
  <c r="J233" i="2"/>
  <c r="I233" i="2"/>
  <c r="H233" i="2"/>
  <c r="J232" i="2"/>
  <c r="I232" i="2"/>
  <c r="H232" i="2"/>
  <c r="J231" i="2"/>
  <c r="I231" i="2"/>
  <c r="H231" i="2"/>
  <c r="J230" i="2"/>
  <c r="I230" i="2"/>
  <c r="H230" i="2"/>
  <c r="J229" i="2"/>
  <c r="I229" i="2"/>
  <c r="H229" i="2"/>
  <c r="J228" i="2"/>
  <c r="I228" i="2"/>
  <c r="H228" i="2"/>
  <c r="J227" i="2"/>
  <c r="I227" i="2"/>
  <c r="H227" i="2"/>
  <c r="J226" i="2"/>
  <c r="I226" i="2"/>
  <c r="H226" i="2"/>
  <c r="J225" i="2"/>
  <c r="I225" i="2"/>
  <c r="H225" i="2"/>
  <c r="J224" i="2"/>
  <c r="I224" i="2"/>
  <c r="H224" i="2"/>
  <c r="J223" i="2"/>
  <c r="I223" i="2"/>
  <c r="H223" i="2"/>
  <c r="J222" i="2"/>
  <c r="I222" i="2"/>
  <c r="H222" i="2"/>
  <c r="J221" i="2"/>
  <c r="I221" i="2"/>
  <c r="H221" i="2"/>
  <c r="J220" i="2"/>
  <c r="I220" i="2"/>
  <c r="H220" i="2"/>
  <c r="J219" i="2"/>
  <c r="I219" i="2"/>
  <c r="H219" i="2"/>
  <c r="J218" i="2"/>
  <c r="I218" i="2"/>
  <c r="H218" i="2"/>
  <c r="J217" i="2"/>
  <c r="I217" i="2"/>
  <c r="H217" i="2"/>
  <c r="J216" i="2"/>
  <c r="I216" i="2"/>
  <c r="H216" i="2"/>
  <c r="J215" i="2"/>
  <c r="I215" i="2"/>
  <c r="H215" i="2"/>
  <c r="J214" i="2"/>
  <c r="I214" i="2"/>
  <c r="H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J209" i="2"/>
  <c r="I209" i="2"/>
  <c r="H209" i="2"/>
  <c r="J208" i="2"/>
  <c r="I208" i="2"/>
  <c r="H208" i="2"/>
  <c r="J207" i="2"/>
  <c r="I207" i="2"/>
  <c r="H207" i="2"/>
  <c r="J206" i="2"/>
  <c r="I206" i="2"/>
  <c r="H206" i="2"/>
  <c r="J205" i="2"/>
  <c r="I205" i="2"/>
  <c r="H205" i="2"/>
  <c r="J204" i="2"/>
  <c r="I204" i="2"/>
  <c r="H204" i="2"/>
  <c r="J203" i="2"/>
  <c r="I203" i="2"/>
  <c r="H203" i="2"/>
  <c r="J202" i="2"/>
  <c r="I202" i="2"/>
  <c r="H202" i="2"/>
  <c r="J201" i="2"/>
  <c r="I201" i="2"/>
  <c r="H201" i="2"/>
  <c r="J200" i="2"/>
  <c r="I200" i="2"/>
  <c r="H200" i="2"/>
  <c r="J199" i="2"/>
  <c r="I199" i="2"/>
  <c r="H199" i="2"/>
  <c r="J198" i="2"/>
  <c r="I198" i="2"/>
  <c r="H198" i="2"/>
  <c r="J197" i="2"/>
  <c r="I197" i="2"/>
  <c r="H197" i="2"/>
  <c r="J196" i="2"/>
  <c r="I196" i="2"/>
  <c r="H196" i="2"/>
  <c r="J195" i="2"/>
  <c r="I195" i="2"/>
  <c r="H195" i="2"/>
  <c r="J194" i="2"/>
  <c r="I194" i="2"/>
  <c r="H194" i="2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J180" i="2"/>
  <c r="I180" i="2"/>
  <c r="H180" i="2"/>
  <c r="J179" i="2"/>
  <c r="I179" i="2"/>
  <c r="H179" i="2"/>
  <c r="J178" i="2"/>
  <c r="I178" i="2"/>
  <c r="H178" i="2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2" i="1"/>
  <c r="H2" i="1"/>
</calcChain>
</file>

<file path=xl/sharedStrings.xml><?xml version="1.0" encoding="utf-8"?>
<sst xmlns="http://schemas.openxmlformats.org/spreadsheetml/2006/main" count="1196" uniqueCount="25">
  <si>
    <t>Photo Name</t>
  </si>
  <si>
    <t>Quality Parameter</t>
  </si>
  <si>
    <t>Original Size (KB)</t>
  </si>
  <si>
    <t>QJPEG Size (KB)</t>
  </si>
  <si>
    <t>CV2 Size (KB)</t>
  </si>
  <si>
    <t>Time QFT (s)</t>
  </si>
  <si>
    <t>Time DCT (s)</t>
  </si>
  <si>
    <t>Onion</t>
  </si>
  <si>
    <t>Friday</t>
  </si>
  <si>
    <t>FridayBoat</t>
  </si>
  <si>
    <t>WildFriday</t>
  </si>
  <si>
    <t>Episode3</t>
  </si>
  <si>
    <t>StarwarsRise</t>
  </si>
  <si>
    <t>starwarsoriginal</t>
  </si>
  <si>
    <t>JOJO</t>
  </si>
  <si>
    <t>JOJOW3</t>
  </si>
  <si>
    <t>DNA</t>
  </si>
  <si>
    <t>ESA</t>
  </si>
  <si>
    <t>ETA</t>
  </si>
  <si>
    <t>QFT Compression</t>
  </si>
  <si>
    <t>JPEG Compression</t>
  </si>
  <si>
    <t>Size differential</t>
  </si>
  <si>
    <t>Blue Marble</t>
  </si>
  <si>
    <t>Starwars</t>
  </si>
  <si>
    <t>Tanks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</si>
</sst>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Output Size</a:t>
            </a:r>
            <a:endParaRPr lang="en-CA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77005607136188"/>
          <c:y val="0.12039579559597302"/>
          <c:w val="0.71641062213025775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(Alex)'!$A$2</c:f>
              <c:strCache>
                <c:ptCount val="1"/>
                <c:pt idx="0">
                  <c:v>Blue Marble</c:v>
                </c:pt>
              </c:strCache>
            </c:strRef>
          </c:tx>
          <c:spPr>
            <a:ln w="25400">
              <a:noFill/>
            </a:ln>
          </c:spPr>
          <c:xVal>
            <c:numRef>
              <c:f>'Run 1 (Alex)'!$D$2:$D$21</c:f>
              <c:numCache>
                <c:formatCode>General</c:formatCode>
                <c:ptCount val="20"/>
                <c:pt idx="0">
                  <c:v>8309.42</c:v>
                </c:pt>
                <c:pt idx="1">
                  <c:v>8717.24</c:v>
                </c:pt>
                <c:pt idx="2">
                  <c:v>9868.56</c:v>
                </c:pt>
                <c:pt idx="3">
                  <c:v>11118.98</c:v>
                </c:pt>
                <c:pt idx="4">
                  <c:v>12402.48</c:v>
                </c:pt>
                <c:pt idx="5">
                  <c:v>13715.87</c:v>
                </c:pt>
                <c:pt idx="6">
                  <c:v>15008.87</c:v>
                </c:pt>
                <c:pt idx="7">
                  <c:v>16295.88</c:v>
                </c:pt>
                <c:pt idx="8">
                  <c:v>17423.87</c:v>
                </c:pt>
                <c:pt idx="9">
                  <c:v>18735.740000000002</c:v>
                </c:pt>
                <c:pt idx="10">
                  <c:v>19891.689999999999</c:v>
                </c:pt>
                <c:pt idx="11">
                  <c:v>21053.59</c:v>
                </c:pt>
                <c:pt idx="12">
                  <c:v>22604.49</c:v>
                </c:pt>
                <c:pt idx="13">
                  <c:v>24516.080000000002</c:v>
                </c:pt>
                <c:pt idx="14">
                  <c:v>26883.91</c:v>
                </c:pt>
                <c:pt idx="15">
                  <c:v>29474.35</c:v>
                </c:pt>
                <c:pt idx="16">
                  <c:v>33516.74</c:v>
                </c:pt>
                <c:pt idx="17">
                  <c:v>39341.1</c:v>
                </c:pt>
                <c:pt idx="18">
                  <c:v>49522.26</c:v>
                </c:pt>
                <c:pt idx="19">
                  <c:v>71880.44</c:v>
                </c:pt>
              </c:numCache>
            </c:numRef>
          </c:xVal>
          <c:yVal>
            <c:numRef>
              <c:f>'Run 1 (Alex)'!$F$2:$F$21</c:f>
              <c:numCache>
                <c:formatCode>General</c:formatCode>
                <c:ptCount val="20"/>
                <c:pt idx="0">
                  <c:v>2252.6417999999999</c:v>
                </c:pt>
                <c:pt idx="1">
                  <c:v>2263.6936000000001</c:v>
                </c:pt>
                <c:pt idx="2">
                  <c:v>2320.6194999999998</c:v>
                </c:pt>
                <c:pt idx="3">
                  <c:v>2182.9394000000002</c:v>
                </c:pt>
                <c:pt idx="4">
                  <c:v>2308.8571999999999</c:v>
                </c:pt>
                <c:pt idx="5">
                  <c:v>2208.998</c:v>
                </c:pt>
                <c:pt idx="6">
                  <c:v>2401.8978000000002</c:v>
                </c:pt>
                <c:pt idx="7">
                  <c:v>2493.2676000000001</c:v>
                </c:pt>
                <c:pt idx="8">
                  <c:v>2483.1712000000002</c:v>
                </c:pt>
                <c:pt idx="9">
                  <c:v>2375.1277</c:v>
                </c:pt>
                <c:pt idx="10">
                  <c:v>2282.8634999999999</c:v>
                </c:pt>
                <c:pt idx="11">
                  <c:v>2298.1257000000001</c:v>
                </c:pt>
                <c:pt idx="12">
                  <c:v>2249.194</c:v>
                </c:pt>
                <c:pt idx="13">
                  <c:v>2247.5951</c:v>
                </c:pt>
                <c:pt idx="14">
                  <c:v>2259.3852999999999</c:v>
                </c:pt>
                <c:pt idx="15">
                  <c:v>2280.5767000000001</c:v>
                </c:pt>
                <c:pt idx="16">
                  <c:v>2277.6689999999999</c:v>
                </c:pt>
                <c:pt idx="17">
                  <c:v>2344.8856000000001</c:v>
                </c:pt>
                <c:pt idx="18">
                  <c:v>2667.4666000000002</c:v>
                </c:pt>
                <c:pt idx="19">
                  <c:v>2527.1939000000002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0-4385-8918-C91305DAD602}"/>
            </c:ext>
          </c:extLst>
        </c:ser>
        <c:ser>
          <c:idx val="2"/>
          <c:order val="1"/>
          <c:tx>
            <c:strRef>
              <c:f>'Run 1 (Alex)'!$A$22</c:f>
              <c:strCache>
                <c:ptCount val="1"/>
                <c:pt idx="0">
                  <c:v>Blue Marble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(Alex)'!$D$22:$D$41</c:f>
              <c:numCache>
                <c:formatCode>General</c:formatCode>
                <c:ptCount val="20"/>
                <c:pt idx="0">
                  <c:v>130227.27</c:v>
                </c:pt>
                <c:pt idx="1">
                  <c:v>28.69</c:v>
                </c:pt>
                <c:pt idx="2">
                  <c:v>31.21</c:v>
                </c:pt>
                <c:pt idx="3">
                  <c:v>35.69</c:v>
                </c:pt>
                <c:pt idx="4">
                  <c:v>39.75</c:v>
                </c:pt>
                <c:pt idx="5">
                  <c:v>42.85</c:v>
                </c:pt>
                <c:pt idx="6">
                  <c:v>46.01</c:v>
                </c:pt>
                <c:pt idx="7">
                  <c:v>48.81</c:v>
                </c:pt>
                <c:pt idx="8">
                  <c:v>50.97</c:v>
                </c:pt>
                <c:pt idx="9">
                  <c:v>53.2</c:v>
                </c:pt>
                <c:pt idx="10">
                  <c:v>55.17</c:v>
                </c:pt>
                <c:pt idx="11">
                  <c:v>56.89</c:v>
                </c:pt>
                <c:pt idx="12">
                  <c:v>59.09</c:v>
                </c:pt>
                <c:pt idx="13">
                  <c:v>61.7</c:v>
                </c:pt>
                <c:pt idx="14">
                  <c:v>64.83</c:v>
                </c:pt>
                <c:pt idx="15">
                  <c:v>68.62</c:v>
                </c:pt>
                <c:pt idx="16">
                  <c:v>72.819999999999993</c:v>
                </c:pt>
                <c:pt idx="17">
                  <c:v>77.91</c:v>
                </c:pt>
                <c:pt idx="18">
                  <c:v>84.6</c:v>
                </c:pt>
                <c:pt idx="19">
                  <c:v>98.54</c:v>
                </c:pt>
              </c:numCache>
            </c:numRef>
          </c:xVal>
          <c:yVal>
            <c:numRef>
              <c:f>'Run 1 (Alex)'!$F$22:$F$41</c:f>
              <c:numCache>
                <c:formatCode>General</c:formatCode>
                <c:ptCount val="20"/>
                <c:pt idx="0">
                  <c:v>2831.7997999999998</c:v>
                </c:pt>
                <c:pt idx="1">
                  <c:v>5.7782</c:v>
                </c:pt>
                <c:pt idx="2">
                  <c:v>5.5796999999999999</c:v>
                </c:pt>
                <c:pt idx="3">
                  <c:v>5.7305000000000001</c:v>
                </c:pt>
                <c:pt idx="4">
                  <c:v>5.7153</c:v>
                </c:pt>
                <c:pt idx="5">
                  <c:v>5.5023999999999997</c:v>
                </c:pt>
                <c:pt idx="6">
                  <c:v>5.5646000000000004</c:v>
                </c:pt>
                <c:pt idx="7">
                  <c:v>5.5358999999999998</c:v>
                </c:pt>
                <c:pt idx="8">
                  <c:v>5.7977999999999996</c:v>
                </c:pt>
                <c:pt idx="9">
                  <c:v>7.2751999999999999</c:v>
                </c:pt>
                <c:pt idx="10">
                  <c:v>8.4886999999999997</c:v>
                </c:pt>
                <c:pt idx="11">
                  <c:v>5.7961999999999998</c:v>
                </c:pt>
                <c:pt idx="12">
                  <c:v>5.6901999999999999</c:v>
                </c:pt>
                <c:pt idx="13">
                  <c:v>5.7182000000000004</c:v>
                </c:pt>
                <c:pt idx="14">
                  <c:v>5.7389000000000001</c:v>
                </c:pt>
                <c:pt idx="15">
                  <c:v>5.899</c:v>
                </c:pt>
                <c:pt idx="16">
                  <c:v>5.6573000000000002</c:v>
                </c:pt>
                <c:pt idx="17">
                  <c:v>5.6708999999999996</c:v>
                </c:pt>
                <c:pt idx="18">
                  <c:v>5.6718000000000002</c:v>
                </c:pt>
                <c:pt idx="19">
                  <c:v>5.9180000000000001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0-4385-8918-C91305DAD602}"/>
            </c:ext>
          </c:extLst>
        </c:ser>
        <c:ser>
          <c:idx val="3"/>
          <c:order val="2"/>
          <c:tx>
            <c:strRef>
              <c:f>'Run 1 (Alex)'!$A$42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(Alex)'!$D$42:$D$61</c:f>
              <c:numCache>
                <c:formatCode>General</c:formatCode>
                <c:ptCount val="20"/>
                <c:pt idx="0">
                  <c:v>126.09</c:v>
                </c:pt>
                <c:pt idx="1">
                  <c:v>189.78</c:v>
                </c:pt>
                <c:pt idx="2">
                  <c:v>56.49</c:v>
                </c:pt>
                <c:pt idx="3">
                  <c:v>67.41</c:v>
                </c:pt>
                <c:pt idx="4">
                  <c:v>89.88</c:v>
                </c:pt>
                <c:pt idx="5">
                  <c:v>109.97</c:v>
                </c:pt>
                <c:pt idx="6">
                  <c:v>128.1</c:v>
                </c:pt>
                <c:pt idx="7">
                  <c:v>144.68</c:v>
                </c:pt>
                <c:pt idx="8">
                  <c:v>159.85</c:v>
                </c:pt>
                <c:pt idx="9">
                  <c:v>174.7</c:v>
                </c:pt>
                <c:pt idx="10">
                  <c:v>186.7</c:v>
                </c:pt>
                <c:pt idx="11">
                  <c:v>200.49</c:v>
                </c:pt>
                <c:pt idx="12">
                  <c:v>211.85</c:v>
                </c:pt>
                <c:pt idx="13">
                  <c:v>223.8</c:v>
                </c:pt>
                <c:pt idx="14">
                  <c:v>238.79</c:v>
                </c:pt>
                <c:pt idx="15">
                  <c:v>257.77999999999997</c:v>
                </c:pt>
                <c:pt idx="16">
                  <c:v>280.24</c:v>
                </c:pt>
                <c:pt idx="17">
                  <c:v>306.01</c:v>
                </c:pt>
                <c:pt idx="18">
                  <c:v>346.69</c:v>
                </c:pt>
                <c:pt idx="19">
                  <c:v>402.13</c:v>
                </c:pt>
              </c:numCache>
            </c:numRef>
          </c:xVal>
          <c:yVal>
            <c:numRef>
              <c:f>'Run 1 (Alex)'!$F$42:$F$61</c:f>
              <c:numCache>
                <c:formatCode>General</c:formatCode>
                <c:ptCount val="20"/>
                <c:pt idx="0">
                  <c:v>5.9029999999999996</c:v>
                </c:pt>
                <c:pt idx="1">
                  <c:v>6.1132999999999997</c:v>
                </c:pt>
                <c:pt idx="2">
                  <c:v>10.945600000000001</c:v>
                </c:pt>
                <c:pt idx="3">
                  <c:v>10.9808</c:v>
                </c:pt>
                <c:pt idx="4">
                  <c:v>11.2567</c:v>
                </c:pt>
                <c:pt idx="5">
                  <c:v>11.1289</c:v>
                </c:pt>
                <c:pt idx="6">
                  <c:v>11.2448</c:v>
                </c:pt>
                <c:pt idx="7">
                  <c:v>11.227499999999999</c:v>
                </c:pt>
                <c:pt idx="8">
                  <c:v>11.495699999999999</c:v>
                </c:pt>
                <c:pt idx="9">
                  <c:v>11.400700000000001</c:v>
                </c:pt>
                <c:pt idx="10">
                  <c:v>11.411099999999999</c:v>
                </c:pt>
                <c:pt idx="11">
                  <c:v>11.734500000000001</c:v>
                </c:pt>
                <c:pt idx="12">
                  <c:v>11.695</c:v>
                </c:pt>
                <c:pt idx="13">
                  <c:v>11.5154</c:v>
                </c:pt>
                <c:pt idx="14">
                  <c:v>11.5738</c:v>
                </c:pt>
                <c:pt idx="15">
                  <c:v>11.6707</c:v>
                </c:pt>
                <c:pt idx="16">
                  <c:v>11.7133</c:v>
                </c:pt>
                <c:pt idx="17">
                  <c:v>12.151300000000001</c:v>
                </c:pt>
                <c:pt idx="18">
                  <c:v>11.9284</c:v>
                </c:pt>
                <c:pt idx="19">
                  <c:v>12.293200000000001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A0-4385-8918-C91305DAD602}"/>
            </c:ext>
          </c:extLst>
        </c:ser>
        <c:ser>
          <c:idx val="4"/>
          <c:order val="3"/>
          <c:tx>
            <c:strRef>
              <c:f>'Run 1 (Alex)'!$A$62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(Alex)'!$D$62:$D$81</c:f>
              <c:numCache>
                <c:formatCode>General</c:formatCode>
                <c:ptCount val="20"/>
                <c:pt idx="0">
                  <c:v>501.59</c:v>
                </c:pt>
                <c:pt idx="1">
                  <c:v>714.13</c:v>
                </c:pt>
                <c:pt idx="2">
                  <c:v>1268.97</c:v>
                </c:pt>
                <c:pt idx="3">
                  <c:v>194.98</c:v>
                </c:pt>
                <c:pt idx="4">
                  <c:v>226.75</c:v>
                </c:pt>
                <c:pt idx="5">
                  <c:v>293.98</c:v>
                </c:pt>
                <c:pt idx="6">
                  <c:v>350.63</c:v>
                </c:pt>
                <c:pt idx="7">
                  <c:v>403.16</c:v>
                </c:pt>
                <c:pt idx="8">
                  <c:v>454.23</c:v>
                </c:pt>
                <c:pt idx="9">
                  <c:v>494.4</c:v>
                </c:pt>
                <c:pt idx="10">
                  <c:v>558.29</c:v>
                </c:pt>
                <c:pt idx="11">
                  <c:v>585.76</c:v>
                </c:pt>
                <c:pt idx="12">
                  <c:v>616.94000000000005</c:v>
                </c:pt>
                <c:pt idx="13">
                  <c:v>640.01</c:v>
                </c:pt>
                <c:pt idx="14">
                  <c:v>665.99</c:v>
                </c:pt>
                <c:pt idx="15">
                  <c:v>827.87</c:v>
                </c:pt>
                <c:pt idx="16">
                  <c:v>953.58</c:v>
                </c:pt>
                <c:pt idx="17">
                  <c:v>1003.68</c:v>
                </c:pt>
                <c:pt idx="18">
                  <c:v>1061.1199999999999</c:v>
                </c:pt>
                <c:pt idx="19">
                  <c:v>1140.33</c:v>
                </c:pt>
              </c:numCache>
            </c:numRef>
          </c:xVal>
          <c:yVal>
            <c:numRef>
              <c:f>'Run 1 (Alex)'!$F$62:$F$81</c:f>
              <c:numCache>
                <c:formatCode>General</c:formatCode>
                <c:ptCount val="20"/>
                <c:pt idx="0">
                  <c:v>12.619199999999999</c:v>
                </c:pt>
                <c:pt idx="1">
                  <c:v>13.0138</c:v>
                </c:pt>
                <c:pt idx="2">
                  <c:v>15.055099999999999</c:v>
                </c:pt>
                <c:pt idx="3">
                  <c:v>43.437399999999997</c:v>
                </c:pt>
                <c:pt idx="4">
                  <c:v>43.078600000000002</c:v>
                </c:pt>
                <c:pt idx="5">
                  <c:v>43.596400000000003</c:v>
                </c:pt>
                <c:pt idx="6">
                  <c:v>43.4619</c:v>
                </c:pt>
                <c:pt idx="7">
                  <c:v>43.8444</c:v>
                </c:pt>
                <c:pt idx="8">
                  <c:v>44.1477</c:v>
                </c:pt>
                <c:pt idx="9">
                  <c:v>44.402000000000001</c:v>
                </c:pt>
                <c:pt idx="10">
                  <c:v>44.374699999999997</c:v>
                </c:pt>
                <c:pt idx="11">
                  <c:v>44.805500000000002</c:v>
                </c:pt>
                <c:pt idx="12">
                  <c:v>44.624499999999998</c:v>
                </c:pt>
                <c:pt idx="13">
                  <c:v>44.671799999999998</c:v>
                </c:pt>
                <c:pt idx="14">
                  <c:v>44.645699999999998</c:v>
                </c:pt>
                <c:pt idx="15">
                  <c:v>45.508899999999997</c:v>
                </c:pt>
                <c:pt idx="16">
                  <c:v>46.713500000000003</c:v>
                </c:pt>
                <c:pt idx="17">
                  <c:v>46.055199999999999</c:v>
                </c:pt>
                <c:pt idx="18">
                  <c:v>46.112299999999998</c:v>
                </c:pt>
                <c:pt idx="19">
                  <c:v>46.174300000000002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A0-4385-8918-C91305DAD602}"/>
            </c:ext>
          </c:extLst>
        </c:ser>
        <c:ser>
          <c:idx val="5"/>
          <c:order val="4"/>
          <c:tx>
            <c:strRef>
              <c:f>'Run 1 (Alex)'!$A$82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(Alex)'!$D$82:$D$101</c:f>
              <c:numCache>
                <c:formatCode>General</c:formatCode>
                <c:ptCount val="20"/>
                <c:pt idx="0">
                  <c:v>1249.6300000000001</c:v>
                </c:pt>
                <c:pt idx="1">
                  <c:v>1592.9</c:v>
                </c:pt>
                <c:pt idx="2">
                  <c:v>2204.67</c:v>
                </c:pt>
                <c:pt idx="3">
                  <c:v>3842.23</c:v>
                </c:pt>
                <c:pt idx="4">
                  <c:v>176.36</c:v>
                </c:pt>
                <c:pt idx="5">
                  <c:v>181.82</c:v>
                </c:pt>
                <c:pt idx="6">
                  <c:v>189.8</c:v>
                </c:pt>
                <c:pt idx="7">
                  <c:v>202.28</c:v>
                </c:pt>
                <c:pt idx="8">
                  <c:v>214.14</c:v>
                </c:pt>
                <c:pt idx="9">
                  <c:v>230.79</c:v>
                </c:pt>
                <c:pt idx="10">
                  <c:v>252.84</c:v>
                </c:pt>
                <c:pt idx="11">
                  <c:v>290.75</c:v>
                </c:pt>
                <c:pt idx="12">
                  <c:v>302.13</c:v>
                </c:pt>
                <c:pt idx="13">
                  <c:v>322.7</c:v>
                </c:pt>
                <c:pt idx="14">
                  <c:v>332.3</c:v>
                </c:pt>
                <c:pt idx="15">
                  <c:v>345.95</c:v>
                </c:pt>
                <c:pt idx="16">
                  <c:v>552.80999999999995</c:v>
                </c:pt>
                <c:pt idx="17">
                  <c:v>653.19000000000005</c:v>
                </c:pt>
                <c:pt idx="18">
                  <c:v>669.71</c:v>
                </c:pt>
                <c:pt idx="19">
                  <c:v>694.24</c:v>
                </c:pt>
              </c:numCache>
            </c:numRef>
          </c:xVal>
          <c:yVal>
            <c:numRef>
              <c:f>'Run 1 (Alex)'!$F$82:$F$101</c:f>
              <c:numCache>
                <c:formatCode>General</c:formatCode>
                <c:ptCount val="20"/>
                <c:pt idx="0">
                  <c:v>46.404299999999999</c:v>
                </c:pt>
                <c:pt idx="1">
                  <c:v>46.791899999999998</c:v>
                </c:pt>
                <c:pt idx="2">
                  <c:v>47.784199999999998</c:v>
                </c:pt>
                <c:pt idx="3">
                  <c:v>53.227699999999999</c:v>
                </c:pt>
                <c:pt idx="4">
                  <c:v>42.592700000000001</c:v>
                </c:pt>
                <c:pt idx="5">
                  <c:v>42.747599999999998</c:v>
                </c:pt>
                <c:pt idx="6">
                  <c:v>42.797499999999999</c:v>
                </c:pt>
                <c:pt idx="7">
                  <c:v>44.641300000000001</c:v>
                </c:pt>
                <c:pt idx="8">
                  <c:v>43.4863</c:v>
                </c:pt>
                <c:pt idx="9">
                  <c:v>43.040300000000002</c:v>
                </c:pt>
                <c:pt idx="10">
                  <c:v>43.167400000000001</c:v>
                </c:pt>
                <c:pt idx="11">
                  <c:v>43.3352</c:v>
                </c:pt>
                <c:pt idx="12">
                  <c:v>43.339300000000001</c:v>
                </c:pt>
                <c:pt idx="13">
                  <c:v>43.460700000000003</c:v>
                </c:pt>
                <c:pt idx="14">
                  <c:v>43.401800000000001</c:v>
                </c:pt>
                <c:pt idx="15">
                  <c:v>43.386299999999999</c:v>
                </c:pt>
                <c:pt idx="16">
                  <c:v>44.195099999999996</c:v>
                </c:pt>
                <c:pt idx="17">
                  <c:v>44.634900000000002</c:v>
                </c:pt>
                <c:pt idx="18">
                  <c:v>44.819000000000003</c:v>
                </c:pt>
                <c:pt idx="19">
                  <c:v>44.967599999999997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A0-4385-8918-C91305DAD602}"/>
            </c:ext>
          </c:extLst>
        </c:ser>
        <c:ser>
          <c:idx val="0"/>
          <c:order val="5"/>
          <c:tx>
            <c:strRef>
              <c:f>'Run 1 (Alex)'!$A$102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(Alex)'!$D$102:$D$121</c:f>
              <c:numCache>
                <c:formatCode>General</c:formatCode>
                <c:ptCount val="20"/>
                <c:pt idx="0">
                  <c:v>728.85</c:v>
                </c:pt>
                <c:pt idx="1">
                  <c:v>785.07</c:v>
                </c:pt>
                <c:pt idx="2">
                  <c:v>1029.8499999999999</c:v>
                </c:pt>
                <c:pt idx="3">
                  <c:v>1415.38</c:v>
                </c:pt>
                <c:pt idx="4">
                  <c:v>2447.96</c:v>
                </c:pt>
                <c:pt idx="5">
                  <c:v>14.7</c:v>
                </c:pt>
                <c:pt idx="6">
                  <c:v>16.18</c:v>
                </c:pt>
                <c:pt idx="7">
                  <c:v>20.7</c:v>
                </c:pt>
                <c:pt idx="8">
                  <c:v>24.78</c:v>
                </c:pt>
                <c:pt idx="9">
                  <c:v>28.76</c:v>
                </c:pt>
                <c:pt idx="10">
                  <c:v>32.35</c:v>
                </c:pt>
                <c:pt idx="11">
                  <c:v>35.659999999999997</c:v>
                </c:pt>
                <c:pt idx="12">
                  <c:v>38.74</c:v>
                </c:pt>
                <c:pt idx="13">
                  <c:v>41.26</c:v>
                </c:pt>
                <c:pt idx="14">
                  <c:v>44.21</c:v>
                </c:pt>
                <c:pt idx="15">
                  <c:v>46.92</c:v>
                </c:pt>
                <c:pt idx="16">
                  <c:v>49.42</c:v>
                </c:pt>
                <c:pt idx="17">
                  <c:v>52.81</c:v>
                </c:pt>
                <c:pt idx="18">
                  <c:v>57.17</c:v>
                </c:pt>
                <c:pt idx="19">
                  <c:v>62.06</c:v>
                </c:pt>
              </c:numCache>
            </c:numRef>
          </c:xVal>
          <c:yVal>
            <c:numRef>
              <c:f>'Run 1 (Alex)'!$F$102:$F$121</c:f>
              <c:numCache>
                <c:formatCode>General</c:formatCode>
                <c:ptCount val="20"/>
                <c:pt idx="0">
                  <c:v>44.957000000000001</c:v>
                </c:pt>
                <c:pt idx="1">
                  <c:v>45.200699999999998</c:v>
                </c:pt>
                <c:pt idx="2">
                  <c:v>45.349499999999999</c:v>
                </c:pt>
                <c:pt idx="3">
                  <c:v>45.914200000000001</c:v>
                </c:pt>
                <c:pt idx="4">
                  <c:v>49.160600000000002</c:v>
                </c:pt>
                <c:pt idx="5">
                  <c:v>5.0739000000000001</c:v>
                </c:pt>
                <c:pt idx="6">
                  <c:v>5.0956000000000001</c:v>
                </c:pt>
                <c:pt idx="7">
                  <c:v>5.1163999999999996</c:v>
                </c:pt>
                <c:pt idx="8">
                  <c:v>5.3014000000000001</c:v>
                </c:pt>
                <c:pt idx="9">
                  <c:v>5.0888999999999998</c:v>
                </c:pt>
                <c:pt idx="10">
                  <c:v>5.1764000000000001</c:v>
                </c:pt>
                <c:pt idx="11">
                  <c:v>5.1463000000000001</c:v>
                </c:pt>
                <c:pt idx="12">
                  <c:v>5.1696999999999997</c:v>
                </c:pt>
                <c:pt idx="13">
                  <c:v>5.1639999999999997</c:v>
                </c:pt>
                <c:pt idx="14">
                  <c:v>5.3623000000000003</c:v>
                </c:pt>
                <c:pt idx="15">
                  <c:v>5.2469999999999999</c:v>
                </c:pt>
                <c:pt idx="16">
                  <c:v>5.2230999999999996</c:v>
                </c:pt>
                <c:pt idx="17">
                  <c:v>5.21</c:v>
                </c:pt>
                <c:pt idx="18">
                  <c:v>5.2008999999999999</c:v>
                </c:pt>
                <c:pt idx="19">
                  <c:v>5.1920000000000002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A0-4385-8918-C91305DAD602}"/>
            </c:ext>
          </c:extLst>
        </c:ser>
        <c:ser>
          <c:idx val="6"/>
          <c:order val="6"/>
          <c:tx>
            <c:strRef>
              <c:f>'Run 1 (Alex)'!$A$122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(Alex)'!$D$122:$D$141</c:f>
              <c:numCache>
                <c:formatCode>General</c:formatCode>
                <c:ptCount val="20"/>
                <c:pt idx="0">
                  <c:v>67.709999999999994</c:v>
                </c:pt>
                <c:pt idx="1">
                  <c:v>76.58</c:v>
                </c:pt>
                <c:pt idx="2">
                  <c:v>88.73</c:v>
                </c:pt>
                <c:pt idx="3">
                  <c:v>110.25</c:v>
                </c:pt>
                <c:pt idx="4">
                  <c:v>157.09</c:v>
                </c:pt>
                <c:pt idx="5">
                  <c:v>287.3</c:v>
                </c:pt>
                <c:pt idx="6">
                  <c:v>25.47</c:v>
                </c:pt>
                <c:pt idx="7">
                  <c:v>29.1</c:v>
                </c:pt>
                <c:pt idx="8">
                  <c:v>35.9</c:v>
                </c:pt>
                <c:pt idx="9">
                  <c:v>42.4</c:v>
                </c:pt>
                <c:pt idx="10">
                  <c:v>48.89</c:v>
                </c:pt>
                <c:pt idx="11">
                  <c:v>54.49</c:v>
                </c:pt>
                <c:pt idx="12">
                  <c:v>58.9</c:v>
                </c:pt>
                <c:pt idx="13">
                  <c:v>65.58</c:v>
                </c:pt>
                <c:pt idx="14">
                  <c:v>70.03</c:v>
                </c:pt>
                <c:pt idx="15">
                  <c:v>73.5</c:v>
                </c:pt>
                <c:pt idx="16">
                  <c:v>75.73</c:v>
                </c:pt>
                <c:pt idx="17">
                  <c:v>78.260000000000005</c:v>
                </c:pt>
                <c:pt idx="18">
                  <c:v>87.75</c:v>
                </c:pt>
                <c:pt idx="19">
                  <c:v>95.27</c:v>
                </c:pt>
              </c:numCache>
            </c:numRef>
          </c:xVal>
          <c:yVal>
            <c:numRef>
              <c:f>'Run 1 (Alex)'!$F$122:$F$141</c:f>
              <c:numCache>
                <c:formatCode>General</c:formatCode>
                <c:ptCount val="20"/>
                <c:pt idx="0">
                  <c:v>5.2819000000000003</c:v>
                </c:pt>
                <c:pt idx="1">
                  <c:v>5.2994000000000003</c:v>
                </c:pt>
                <c:pt idx="2">
                  <c:v>5.3160999999999996</c:v>
                </c:pt>
                <c:pt idx="3">
                  <c:v>5.4025999999999996</c:v>
                </c:pt>
                <c:pt idx="4">
                  <c:v>5.7084000000000001</c:v>
                </c:pt>
                <c:pt idx="5">
                  <c:v>6.2565999999999997</c:v>
                </c:pt>
                <c:pt idx="6">
                  <c:v>5.4141000000000004</c:v>
                </c:pt>
                <c:pt idx="7">
                  <c:v>5.4066000000000001</c:v>
                </c:pt>
                <c:pt idx="8">
                  <c:v>5.4455</c:v>
                </c:pt>
                <c:pt idx="9">
                  <c:v>5.4753999999999996</c:v>
                </c:pt>
                <c:pt idx="10">
                  <c:v>5.4771000000000001</c:v>
                </c:pt>
                <c:pt idx="11">
                  <c:v>5.7720000000000002</c:v>
                </c:pt>
                <c:pt idx="12">
                  <c:v>5.524</c:v>
                </c:pt>
                <c:pt idx="13">
                  <c:v>5.5319000000000003</c:v>
                </c:pt>
                <c:pt idx="14">
                  <c:v>5.5867000000000004</c:v>
                </c:pt>
                <c:pt idx="15">
                  <c:v>5.5622999999999996</c:v>
                </c:pt>
                <c:pt idx="16">
                  <c:v>5.6154000000000002</c:v>
                </c:pt>
                <c:pt idx="17">
                  <c:v>5.6397000000000004</c:v>
                </c:pt>
                <c:pt idx="18">
                  <c:v>5.6414</c:v>
                </c:pt>
                <c:pt idx="19">
                  <c:v>5.6649000000000003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A0-4385-8918-C91305DAD602}"/>
            </c:ext>
          </c:extLst>
        </c:ser>
        <c:ser>
          <c:idx val="7"/>
          <c:order val="7"/>
          <c:tx>
            <c:strRef>
              <c:f>'Run 1 (Alex)'!$A$142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(Alex)'!$D$142:$D$161</c:f>
              <c:numCache>
                <c:formatCode>General</c:formatCode>
                <c:ptCount val="20"/>
                <c:pt idx="0">
                  <c:v>98.99</c:v>
                </c:pt>
                <c:pt idx="1">
                  <c:v>103.56</c:v>
                </c:pt>
                <c:pt idx="2">
                  <c:v>111.44</c:v>
                </c:pt>
                <c:pt idx="3">
                  <c:v>119.8</c:v>
                </c:pt>
                <c:pt idx="4">
                  <c:v>144.46</c:v>
                </c:pt>
                <c:pt idx="5">
                  <c:v>191.02</c:v>
                </c:pt>
                <c:pt idx="6">
                  <c:v>321.24</c:v>
                </c:pt>
                <c:pt idx="7">
                  <c:v>66.319999999999993</c:v>
                </c:pt>
                <c:pt idx="8">
                  <c:v>78.63</c:v>
                </c:pt>
                <c:pt idx="9">
                  <c:v>104.66</c:v>
                </c:pt>
                <c:pt idx="10">
                  <c:v>127.75</c:v>
                </c:pt>
                <c:pt idx="11">
                  <c:v>147.81</c:v>
                </c:pt>
                <c:pt idx="12">
                  <c:v>167.16</c:v>
                </c:pt>
                <c:pt idx="13">
                  <c:v>185.63</c:v>
                </c:pt>
                <c:pt idx="14">
                  <c:v>203.22</c:v>
                </c:pt>
                <c:pt idx="15">
                  <c:v>216.95</c:v>
                </c:pt>
                <c:pt idx="16">
                  <c:v>232.04</c:v>
                </c:pt>
                <c:pt idx="17">
                  <c:v>245.08</c:v>
                </c:pt>
                <c:pt idx="18">
                  <c:v>258.58999999999997</c:v>
                </c:pt>
                <c:pt idx="19">
                  <c:v>275.48</c:v>
                </c:pt>
              </c:numCache>
            </c:numRef>
          </c:xVal>
          <c:yVal>
            <c:numRef>
              <c:f>'Run 1 (Alex)'!$F$142:$F$161</c:f>
              <c:numCache>
                <c:formatCode>General</c:formatCode>
                <c:ptCount val="20"/>
                <c:pt idx="0">
                  <c:v>5.7149000000000001</c:v>
                </c:pt>
                <c:pt idx="1">
                  <c:v>5.6680999999999999</c:v>
                </c:pt>
                <c:pt idx="2">
                  <c:v>5.9241999999999999</c:v>
                </c:pt>
                <c:pt idx="3">
                  <c:v>5.6835000000000004</c:v>
                </c:pt>
                <c:pt idx="4">
                  <c:v>5.7507999999999999</c:v>
                </c:pt>
                <c:pt idx="5">
                  <c:v>5.7507999999999999</c:v>
                </c:pt>
                <c:pt idx="6">
                  <c:v>6.2404000000000002</c:v>
                </c:pt>
                <c:pt idx="7">
                  <c:v>20.136800000000001</c:v>
                </c:pt>
                <c:pt idx="8">
                  <c:v>20.340800000000002</c:v>
                </c:pt>
                <c:pt idx="9">
                  <c:v>22.113900000000001</c:v>
                </c:pt>
                <c:pt idx="10">
                  <c:v>21.053699999999999</c:v>
                </c:pt>
                <c:pt idx="11">
                  <c:v>20.963000000000001</c:v>
                </c:pt>
                <c:pt idx="12">
                  <c:v>20.8733</c:v>
                </c:pt>
                <c:pt idx="13">
                  <c:v>20.972300000000001</c:v>
                </c:pt>
                <c:pt idx="14">
                  <c:v>20.9053</c:v>
                </c:pt>
                <c:pt idx="15">
                  <c:v>20.884899999999998</c:v>
                </c:pt>
                <c:pt idx="16">
                  <c:v>21.567499999999999</c:v>
                </c:pt>
                <c:pt idx="17">
                  <c:v>20.912700000000001</c:v>
                </c:pt>
                <c:pt idx="18">
                  <c:v>20.821100000000001</c:v>
                </c:pt>
                <c:pt idx="19">
                  <c:v>21.0656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A0-4385-8918-C91305DAD602}"/>
            </c:ext>
          </c:extLst>
        </c:ser>
        <c:ser>
          <c:idx val="8"/>
          <c:order val="8"/>
          <c:tx>
            <c:strRef>
              <c:f>'Run 1 (Alex)'!$A$162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(Alex)'!$D$162:$D$181</c:f>
              <c:numCache>
                <c:formatCode>General</c:formatCode>
                <c:ptCount val="20"/>
                <c:pt idx="0">
                  <c:v>296.82</c:v>
                </c:pt>
                <c:pt idx="1">
                  <c:v>320.97000000000003</c:v>
                </c:pt>
                <c:pt idx="2">
                  <c:v>349.3</c:v>
                </c:pt>
                <c:pt idx="3">
                  <c:v>392.46</c:v>
                </c:pt>
                <c:pt idx="4">
                  <c:v>452.91</c:v>
                </c:pt>
                <c:pt idx="5">
                  <c:v>567.95000000000005</c:v>
                </c:pt>
                <c:pt idx="6">
                  <c:v>813.33</c:v>
                </c:pt>
                <c:pt idx="7">
                  <c:v>1488.99</c:v>
                </c:pt>
                <c:pt idx="8">
                  <c:v>66.739999999999995</c:v>
                </c:pt>
                <c:pt idx="9">
                  <c:v>80.58</c:v>
                </c:pt>
                <c:pt idx="10">
                  <c:v>107.93</c:v>
                </c:pt>
                <c:pt idx="11">
                  <c:v>132.03</c:v>
                </c:pt>
                <c:pt idx="12">
                  <c:v>154.22</c:v>
                </c:pt>
                <c:pt idx="13">
                  <c:v>175.06</c:v>
                </c:pt>
                <c:pt idx="14">
                  <c:v>194.61</c:v>
                </c:pt>
                <c:pt idx="15">
                  <c:v>213.27</c:v>
                </c:pt>
                <c:pt idx="16">
                  <c:v>228.73</c:v>
                </c:pt>
                <c:pt idx="17">
                  <c:v>245.86</c:v>
                </c:pt>
                <c:pt idx="18">
                  <c:v>261.48</c:v>
                </c:pt>
                <c:pt idx="19">
                  <c:v>277.58</c:v>
                </c:pt>
              </c:numCache>
            </c:numRef>
          </c:xVal>
          <c:yVal>
            <c:numRef>
              <c:f>'Run 1 (Alex)'!$F$162:$F$181</c:f>
              <c:numCache>
                <c:formatCode>General</c:formatCode>
                <c:ptCount val="20"/>
                <c:pt idx="0">
                  <c:v>21.103200000000001</c:v>
                </c:pt>
                <c:pt idx="1">
                  <c:v>21.011099999999999</c:v>
                </c:pt>
                <c:pt idx="2">
                  <c:v>21.158200000000001</c:v>
                </c:pt>
                <c:pt idx="3">
                  <c:v>21.216100000000001</c:v>
                </c:pt>
                <c:pt idx="4">
                  <c:v>21.485399999999998</c:v>
                </c:pt>
                <c:pt idx="5">
                  <c:v>21.705400000000001</c:v>
                </c:pt>
                <c:pt idx="6">
                  <c:v>22.144600000000001</c:v>
                </c:pt>
                <c:pt idx="7">
                  <c:v>25.186599999999999</c:v>
                </c:pt>
                <c:pt idx="8">
                  <c:v>20.3201</c:v>
                </c:pt>
                <c:pt idx="9">
                  <c:v>20.158999999999999</c:v>
                </c:pt>
                <c:pt idx="10">
                  <c:v>20.243400000000001</c:v>
                </c:pt>
                <c:pt idx="11">
                  <c:v>20.409400000000002</c:v>
                </c:pt>
                <c:pt idx="12">
                  <c:v>20.394200000000001</c:v>
                </c:pt>
                <c:pt idx="13">
                  <c:v>20.6251</c:v>
                </c:pt>
                <c:pt idx="14">
                  <c:v>20.572900000000001</c:v>
                </c:pt>
                <c:pt idx="15">
                  <c:v>20.913599999999999</c:v>
                </c:pt>
                <c:pt idx="16">
                  <c:v>21.147400000000001</c:v>
                </c:pt>
                <c:pt idx="17">
                  <c:v>20.955100000000002</c:v>
                </c:pt>
                <c:pt idx="18">
                  <c:v>20.979900000000001</c:v>
                </c:pt>
                <c:pt idx="19">
                  <c:v>20.925000000000001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A0-4385-8918-C91305DAD602}"/>
            </c:ext>
          </c:extLst>
        </c:ser>
        <c:ser>
          <c:idx val="9"/>
          <c:order val="9"/>
          <c:tx>
            <c:strRef>
              <c:f>'Run 1 (Alex)'!$A$182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(Alex)'!$D$182:$D$201</c:f>
              <c:numCache>
                <c:formatCode>General</c:formatCode>
                <c:ptCount val="20"/>
                <c:pt idx="0">
                  <c:v>297.45</c:v>
                </c:pt>
                <c:pt idx="1">
                  <c:v>322.54000000000002</c:v>
                </c:pt>
                <c:pt idx="2">
                  <c:v>351.86</c:v>
                </c:pt>
                <c:pt idx="3">
                  <c:v>385.94</c:v>
                </c:pt>
                <c:pt idx="4">
                  <c:v>439.31</c:v>
                </c:pt>
                <c:pt idx="5">
                  <c:v>512.41</c:v>
                </c:pt>
                <c:pt idx="6">
                  <c:v>643.39</c:v>
                </c:pt>
                <c:pt idx="7">
                  <c:v>924.58</c:v>
                </c:pt>
                <c:pt idx="8">
                  <c:v>1636.49</c:v>
                </c:pt>
                <c:pt idx="9">
                  <c:v>143.44999999999999</c:v>
                </c:pt>
                <c:pt idx="10">
                  <c:v>149.47999999999999</c:v>
                </c:pt>
                <c:pt idx="11">
                  <c:v>166.2</c:v>
                </c:pt>
                <c:pt idx="12">
                  <c:v>183.66</c:v>
                </c:pt>
                <c:pt idx="13">
                  <c:v>200.99</c:v>
                </c:pt>
                <c:pt idx="14">
                  <c:v>218.52</c:v>
                </c:pt>
                <c:pt idx="15">
                  <c:v>235.49</c:v>
                </c:pt>
                <c:pt idx="16">
                  <c:v>252.04</c:v>
                </c:pt>
                <c:pt idx="17">
                  <c:v>266.61</c:v>
                </c:pt>
                <c:pt idx="18">
                  <c:v>284.70999999999998</c:v>
                </c:pt>
                <c:pt idx="19">
                  <c:v>299.61</c:v>
                </c:pt>
              </c:numCache>
            </c:numRef>
          </c:xVal>
          <c:yVal>
            <c:numRef>
              <c:f>'Run 1 (Alex)'!$F$182:$F$201</c:f>
              <c:numCache>
                <c:formatCode>General</c:formatCode>
                <c:ptCount val="20"/>
                <c:pt idx="0">
                  <c:v>20.871500000000001</c:v>
                </c:pt>
                <c:pt idx="1">
                  <c:v>21.064</c:v>
                </c:pt>
                <c:pt idx="2">
                  <c:v>21.059200000000001</c:v>
                </c:pt>
                <c:pt idx="3">
                  <c:v>21.320399999999999</c:v>
                </c:pt>
                <c:pt idx="4">
                  <c:v>21.4145</c:v>
                </c:pt>
                <c:pt idx="5">
                  <c:v>21.580200000000001</c:v>
                </c:pt>
                <c:pt idx="6">
                  <c:v>22.030100000000001</c:v>
                </c:pt>
                <c:pt idx="7">
                  <c:v>22.694299999999998</c:v>
                </c:pt>
                <c:pt idx="8">
                  <c:v>25.3765</c:v>
                </c:pt>
                <c:pt idx="9">
                  <c:v>41.241500000000002</c:v>
                </c:pt>
                <c:pt idx="10">
                  <c:v>40.988700000000001</c:v>
                </c:pt>
                <c:pt idx="11">
                  <c:v>41.557299999999998</c:v>
                </c:pt>
                <c:pt idx="12">
                  <c:v>41.509500000000003</c:v>
                </c:pt>
                <c:pt idx="13">
                  <c:v>41.653599999999997</c:v>
                </c:pt>
                <c:pt idx="14">
                  <c:v>41.517699999999998</c:v>
                </c:pt>
                <c:pt idx="15">
                  <c:v>41.7883</c:v>
                </c:pt>
                <c:pt idx="16">
                  <c:v>41.679099999999998</c:v>
                </c:pt>
                <c:pt idx="17">
                  <c:v>41.653700000000001</c:v>
                </c:pt>
                <c:pt idx="18">
                  <c:v>41.921100000000003</c:v>
                </c:pt>
                <c:pt idx="19">
                  <c:v>42.048999999999999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A0-4385-8918-C91305DAD602}"/>
            </c:ext>
          </c:extLst>
        </c:ser>
        <c:ser>
          <c:idx val="10"/>
          <c:order val="10"/>
          <c:tx>
            <c:strRef>
              <c:f>'Run 1 (Alex)'!$A$202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(Alex)'!$D$202:$D$221</c:f>
              <c:numCache>
                <c:formatCode>General</c:formatCode>
                <c:ptCount val="20"/>
                <c:pt idx="0">
                  <c:v>315.66000000000003</c:v>
                </c:pt>
                <c:pt idx="1">
                  <c:v>336.02</c:v>
                </c:pt>
                <c:pt idx="2">
                  <c:v>365.91</c:v>
                </c:pt>
                <c:pt idx="3">
                  <c:v>399.76</c:v>
                </c:pt>
                <c:pt idx="4">
                  <c:v>442.25</c:v>
                </c:pt>
                <c:pt idx="5">
                  <c:v>512.04999999999995</c:v>
                </c:pt>
                <c:pt idx="6">
                  <c:v>611.70000000000005</c:v>
                </c:pt>
                <c:pt idx="7">
                  <c:v>804.85</c:v>
                </c:pt>
                <c:pt idx="8">
                  <c:v>1251.8800000000001</c:v>
                </c:pt>
                <c:pt idx="9">
                  <c:v>2594.2199999999998</c:v>
                </c:pt>
                <c:pt idx="10">
                  <c:v>231.06</c:v>
                </c:pt>
                <c:pt idx="11">
                  <c:v>282.24</c:v>
                </c:pt>
                <c:pt idx="12">
                  <c:v>404.1</c:v>
                </c:pt>
                <c:pt idx="13">
                  <c:v>518.09</c:v>
                </c:pt>
                <c:pt idx="14">
                  <c:v>622.19000000000005</c:v>
                </c:pt>
                <c:pt idx="15">
                  <c:v>723.21</c:v>
                </c:pt>
                <c:pt idx="16">
                  <c:v>809.85</c:v>
                </c:pt>
                <c:pt idx="17">
                  <c:v>903.84</c:v>
                </c:pt>
                <c:pt idx="18">
                  <c:v>963.75</c:v>
                </c:pt>
                <c:pt idx="19">
                  <c:v>1074.5</c:v>
                </c:pt>
              </c:numCache>
            </c:numRef>
          </c:xVal>
          <c:yVal>
            <c:numRef>
              <c:f>'Run 1 (Alex)'!$F$202:$F$221</c:f>
              <c:numCache>
                <c:formatCode>General</c:formatCode>
                <c:ptCount val="20"/>
                <c:pt idx="0">
                  <c:v>42.027900000000002</c:v>
                </c:pt>
                <c:pt idx="1">
                  <c:v>41.968200000000003</c:v>
                </c:pt>
                <c:pt idx="2">
                  <c:v>42.286799999999999</c:v>
                </c:pt>
                <c:pt idx="3">
                  <c:v>42.219900000000003</c:v>
                </c:pt>
                <c:pt idx="4">
                  <c:v>42.351999999999997</c:v>
                </c:pt>
                <c:pt idx="5">
                  <c:v>44.264099999999999</c:v>
                </c:pt>
                <c:pt idx="6">
                  <c:v>44.177799999999998</c:v>
                </c:pt>
                <c:pt idx="7">
                  <c:v>43.796599999999998</c:v>
                </c:pt>
                <c:pt idx="8">
                  <c:v>45.235100000000003</c:v>
                </c:pt>
                <c:pt idx="9">
                  <c:v>50.990499999999997</c:v>
                </c:pt>
                <c:pt idx="10">
                  <c:v>43.361800000000002</c:v>
                </c:pt>
                <c:pt idx="11">
                  <c:v>43.664900000000003</c:v>
                </c:pt>
                <c:pt idx="12">
                  <c:v>44.121899999999997</c:v>
                </c:pt>
                <c:pt idx="13">
                  <c:v>44.716299999999997</c:v>
                </c:pt>
                <c:pt idx="14">
                  <c:v>45.023800000000001</c:v>
                </c:pt>
                <c:pt idx="15">
                  <c:v>45.693100000000001</c:v>
                </c:pt>
                <c:pt idx="16">
                  <c:v>45.783200000000001</c:v>
                </c:pt>
                <c:pt idx="17">
                  <c:v>46.142000000000003</c:v>
                </c:pt>
                <c:pt idx="18">
                  <c:v>46.228499999999997</c:v>
                </c:pt>
                <c:pt idx="19">
                  <c:v>46.680599999999998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A0-4385-8918-C91305DAD602}"/>
            </c:ext>
          </c:extLst>
        </c:ser>
        <c:ser>
          <c:idx val="11"/>
          <c:order val="11"/>
          <c:tx>
            <c:strRef>
              <c:f>'Run 1 (Alex)'!$A$222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(Alex)'!$D$222:$D$241</c:f>
              <c:numCache>
                <c:formatCode>General</c:formatCode>
                <c:ptCount val="20"/>
                <c:pt idx="0">
                  <c:v>1127</c:v>
                </c:pt>
                <c:pt idx="1">
                  <c:v>1174.27</c:v>
                </c:pt>
                <c:pt idx="2">
                  <c:v>1294.45</c:v>
                </c:pt>
                <c:pt idx="3">
                  <c:v>1441.31</c:v>
                </c:pt>
                <c:pt idx="4">
                  <c:v>1526.64</c:v>
                </c:pt>
                <c:pt idx="5">
                  <c:v>1626.16</c:v>
                </c:pt>
                <c:pt idx="6">
                  <c:v>1974.29</c:v>
                </c:pt>
                <c:pt idx="7">
                  <c:v>2362.83</c:v>
                </c:pt>
                <c:pt idx="8">
                  <c:v>2791.35</c:v>
                </c:pt>
                <c:pt idx="9">
                  <c:v>3934.89</c:v>
                </c:pt>
                <c:pt idx="10">
                  <c:v>6565.4</c:v>
                </c:pt>
                <c:pt idx="11">
                  <c:v>54.83</c:v>
                </c:pt>
                <c:pt idx="12">
                  <c:v>61.13</c:v>
                </c:pt>
                <c:pt idx="13">
                  <c:v>73.52</c:v>
                </c:pt>
                <c:pt idx="14">
                  <c:v>84.74</c:v>
                </c:pt>
                <c:pt idx="15">
                  <c:v>94.63</c:v>
                </c:pt>
                <c:pt idx="16">
                  <c:v>104.56</c:v>
                </c:pt>
                <c:pt idx="17">
                  <c:v>113.77</c:v>
                </c:pt>
                <c:pt idx="18">
                  <c:v>122.55</c:v>
                </c:pt>
                <c:pt idx="19">
                  <c:v>130.38</c:v>
                </c:pt>
              </c:numCache>
            </c:numRef>
          </c:xVal>
          <c:yVal>
            <c:numRef>
              <c:f>'Run 1 (Alex)'!$F$222:$F$241</c:f>
              <c:numCache>
                <c:formatCode>General</c:formatCode>
                <c:ptCount val="20"/>
                <c:pt idx="0">
                  <c:v>46.712800000000001</c:v>
                </c:pt>
                <c:pt idx="1">
                  <c:v>47.076099999999997</c:v>
                </c:pt>
                <c:pt idx="2">
                  <c:v>47.416200000000003</c:v>
                </c:pt>
                <c:pt idx="3">
                  <c:v>48.0396</c:v>
                </c:pt>
                <c:pt idx="4">
                  <c:v>48.2286</c:v>
                </c:pt>
                <c:pt idx="5">
                  <c:v>48.295999999999999</c:v>
                </c:pt>
                <c:pt idx="6">
                  <c:v>49.577399999999997</c:v>
                </c:pt>
                <c:pt idx="7">
                  <c:v>51.281799999999997</c:v>
                </c:pt>
                <c:pt idx="8">
                  <c:v>51.878700000000002</c:v>
                </c:pt>
                <c:pt idx="9">
                  <c:v>53.690899999999999</c:v>
                </c:pt>
                <c:pt idx="10">
                  <c:v>60.671399999999998</c:v>
                </c:pt>
                <c:pt idx="11">
                  <c:v>20.226400000000002</c:v>
                </c:pt>
                <c:pt idx="12">
                  <c:v>20.070399999999999</c:v>
                </c:pt>
                <c:pt idx="13">
                  <c:v>20.122599999999998</c:v>
                </c:pt>
                <c:pt idx="14">
                  <c:v>20.186499999999999</c:v>
                </c:pt>
                <c:pt idx="15">
                  <c:v>20.309999999999999</c:v>
                </c:pt>
                <c:pt idx="16">
                  <c:v>20.372900000000001</c:v>
                </c:pt>
                <c:pt idx="17">
                  <c:v>20.472799999999999</c:v>
                </c:pt>
                <c:pt idx="18">
                  <c:v>20.303599999999999</c:v>
                </c:pt>
                <c:pt idx="19">
                  <c:v>20.463000000000001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3A0-4385-8918-C91305DAD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4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1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4512008362196835"/>
              <c:y val="0.403429861979667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880791673906752E-2"/>
          <c:y val="1.7430182583321355E-2"/>
          <c:w val="0.13863535454887671"/>
          <c:h val="0.6329019269749391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Output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04713117496235"/>
          <c:y val="0.12039579559597302"/>
          <c:w val="0.70606402662916923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(Alex)'!$A$2</c:f>
              <c:strCache>
                <c:ptCount val="1"/>
                <c:pt idx="0">
                  <c:v>Blue Marble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(Alex)'!$E$2:$E$22</c:f>
              <c:numCache>
                <c:formatCode>General</c:formatCode>
                <c:ptCount val="21"/>
                <c:pt idx="0">
                  <c:v>3567.01</c:v>
                </c:pt>
                <c:pt idx="1">
                  <c:v>3568.39</c:v>
                </c:pt>
                <c:pt idx="2">
                  <c:v>3619.82</c:v>
                </c:pt>
                <c:pt idx="3">
                  <c:v>3678.24</c:v>
                </c:pt>
                <c:pt idx="4">
                  <c:v>3780</c:v>
                </c:pt>
                <c:pt idx="5">
                  <c:v>3873.76</c:v>
                </c:pt>
                <c:pt idx="6">
                  <c:v>3991.04</c:v>
                </c:pt>
                <c:pt idx="7">
                  <c:v>4121</c:v>
                </c:pt>
                <c:pt idx="8">
                  <c:v>4216.2299999999996</c:v>
                </c:pt>
                <c:pt idx="9">
                  <c:v>4354.12</c:v>
                </c:pt>
                <c:pt idx="10">
                  <c:v>4479.96</c:v>
                </c:pt>
                <c:pt idx="11">
                  <c:v>4614.75</c:v>
                </c:pt>
                <c:pt idx="12">
                  <c:v>4812.2299999999996</c:v>
                </c:pt>
                <c:pt idx="13">
                  <c:v>5045.9799999999996</c:v>
                </c:pt>
                <c:pt idx="14">
                  <c:v>5365.96</c:v>
                </c:pt>
                <c:pt idx="15">
                  <c:v>5757.01</c:v>
                </c:pt>
                <c:pt idx="16">
                  <c:v>6409.7</c:v>
                </c:pt>
                <c:pt idx="17">
                  <c:v>7431.39</c:v>
                </c:pt>
                <c:pt idx="18">
                  <c:v>9323.19</c:v>
                </c:pt>
                <c:pt idx="19">
                  <c:v>13954.49</c:v>
                </c:pt>
                <c:pt idx="20">
                  <c:v>35662.51</c:v>
                </c:pt>
              </c:numCache>
            </c:numRef>
          </c:xVal>
          <c:yVal>
            <c:numRef>
              <c:f>'Run 1 (Alex)'!$G$2:$G$22</c:f>
              <c:numCache>
                <c:formatCode>General</c:formatCode>
                <c:ptCount val="21"/>
                <c:pt idx="0">
                  <c:v>4.3216000000000001</c:v>
                </c:pt>
                <c:pt idx="1">
                  <c:v>4.4128999999999996</c:v>
                </c:pt>
                <c:pt idx="2">
                  <c:v>4.6538000000000004</c:v>
                </c:pt>
                <c:pt idx="3">
                  <c:v>4.3974000000000002</c:v>
                </c:pt>
                <c:pt idx="4">
                  <c:v>4.5269000000000004</c:v>
                </c:pt>
                <c:pt idx="5">
                  <c:v>4.4931999999999999</c:v>
                </c:pt>
                <c:pt idx="6">
                  <c:v>4.7945000000000002</c:v>
                </c:pt>
                <c:pt idx="7">
                  <c:v>4.6647999999999996</c:v>
                </c:pt>
                <c:pt idx="8">
                  <c:v>4.8502999999999998</c:v>
                </c:pt>
                <c:pt idx="9">
                  <c:v>4.8861999999999997</c:v>
                </c:pt>
                <c:pt idx="10">
                  <c:v>4.8863000000000003</c:v>
                </c:pt>
                <c:pt idx="11">
                  <c:v>5.0194999999999999</c:v>
                </c:pt>
                <c:pt idx="12">
                  <c:v>4.9855</c:v>
                </c:pt>
                <c:pt idx="13">
                  <c:v>4.9032999999999998</c:v>
                </c:pt>
                <c:pt idx="14">
                  <c:v>4.9217000000000004</c:v>
                </c:pt>
                <c:pt idx="15">
                  <c:v>4.9562999999999997</c:v>
                </c:pt>
                <c:pt idx="16">
                  <c:v>5.0934999999999997</c:v>
                </c:pt>
                <c:pt idx="17">
                  <c:v>5.0377000000000001</c:v>
                </c:pt>
                <c:pt idx="18">
                  <c:v>5.2694000000000001</c:v>
                </c:pt>
                <c:pt idx="19">
                  <c:v>5.4040999999999997</c:v>
                </c:pt>
                <c:pt idx="20">
                  <c:v>4.5515999999999996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A-45B6-B103-9C39D32D09D1}"/>
            </c:ext>
          </c:extLst>
        </c:ser>
        <c:ser>
          <c:idx val="2"/>
          <c:order val="1"/>
          <c:tx>
            <c:strRef>
              <c:f>'Run 1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(Alex)'!$E$23:$E$43</c:f>
              <c:numCache>
                <c:formatCode>General</c:formatCode>
                <c:ptCount val="21"/>
                <c:pt idx="0">
                  <c:v>11.51</c:v>
                </c:pt>
                <c:pt idx="1">
                  <c:v>11.65</c:v>
                </c:pt>
                <c:pt idx="2">
                  <c:v>12.66</c:v>
                </c:pt>
                <c:pt idx="3">
                  <c:v>13.6</c:v>
                </c:pt>
                <c:pt idx="4">
                  <c:v>14.42</c:v>
                </c:pt>
                <c:pt idx="5">
                  <c:v>15.27</c:v>
                </c:pt>
                <c:pt idx="6">
                  <c:v>15.89</c:v>
                </c:pt>
                <c:pt idx="7">
                  <c:v>16.64</c:v>
                </c:pt>
                <c:pt idx="8">
                  <c:v>17.22</c:v>
                </c:pt>
                <c:pt idx="9">
                  <c:v>17.91</c:v>
                </c:pt>
                <c:pt idx="10">
                  <c:v>18.54</c:v>
                </c:pt>
                <c:pt idx="11">
                  <c:v>19.18</c:v>
                </c:pt>
                <c:pt idx="12">
                  <c:v>19.989999999999998</c:v>
                </c:pt>
                <c:pt idx="13">
                  <c:v>21.02</c:v>
                </c:pt>
                <c:pt idx="14">
                  <c:v>22.27</c:v>
                </c:pt>
                <c:pt idx="15">
                  <c:v>23.82</c:v>
                </c:pt>
                <c:pt idx="16">
                  <c:v>26.42</c:v>
                </c:pt>
                <c:pt idx="17">
                  <c:v>30.06</c:v>
                </c:pt>
                <c:pt idx="18">
                  <c:v>36.57</c:v>
                </c:pt>
                <c:pt idx="19">
                  <c:v>50.8</c:v>
                </c:pt>
                <c:pt idx="20">
                  <c:v>100.33</c:v>
                </c:pt>
              </c:numCache>
            </c:numRef>
          </c:xVal>
          <c:yVal>
            <c:numRef>
              <c:f>'Run 1 (Alex)'!$G$23:$G$43</c:f>
              <c:numCache>
                <c:formatCode>General</c:formatCode>
                <c:ptCount val="21"/>
                <c:pt idx="0">
                  <c:v>1.37E-2</c:v>
                </c:pt>
                <c:pt idx="1">
                  <c:v>1.8499999999999999E-2</c:v>
                </c:pt>
                <c:pt idx="2">
                  <c:v>1.8200000000000001E-2</c:v>
                </c:pt>
                <c:pt idx="3">
                  <c:v>1.2999999999999999E-2</c:v>
                </c:pt>
                <c:pt idx="4">
                  <c:v>1.3599999999999999E-2</c:v>
                </c:pt>
                <c:pt idx="5">
                  <c:v>1.5599999999999999E-2</c:v>
                </c:pt>
                <c:pt idx="6">
                  <c:v>1.2E-2</c:v>
                </c:pt>
                <c:pt idx="7">
                  <c:v>6.0000000000000001E-3</c:v>
                </c:pt>
                <c:pt idx="8">
                  <c:v>8.0000000000000002E-3</c:v>
                </c:pt>
                <c:pt idx="9">
                  <c:v>0</c:v>
                </c:pt>
                <c:pt idx="10">
                  <c:v>0</c:v>
                </c:pt>
                <c:pt idx="11">
                  <c:v>7.7999999999999996E-3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1.1299999999999999E-2</c:v>
                </c:pt>
                <c:pt idx="15">
                  <c:v>0</c:v>
                </c:pt>
                <c:pt idx="16">
                  <c:v>0</c:v>
                </c:pt>
                <c:pt idx="17">
                  <c:v>1.9599999999999999E-2</c:v>
                </c:pt>
                <c:pt idx="18">
                  <c:v>2.12E-2</c:v>
                </c:pt>
                <c:pt idx="19">
                  <c:v>1.84E-2</c:v>
                </c:pt>
                <c:pt idx="20">
                  <c:v>1.0500000000000001E-2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3A-45B6-B103-9C39D32D09D1}"/>
            </c:ext>
          </c:extLst>
        </c:ser>
        <c:ser>
          <c:idx val="3"/>
          <c:order val="2"/>
          <c:tx>
            <c:strRef>
              <c:f>'Run 1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(Alex)'!$E$44:$E$64</c:f>
              <c:numCache>
                <c:formatCode>General</c:formatCode>
                <c:ptCount val="21"/>
                <c:pt idx="0">
                  <c:v>22.08</c:v>
                </c:pt>
                <c:pt idx="1">
                  <c:v>22.18</c:v>
                </c:pt>
                <c:pt idx="2">
                  <c:v>23.84</c:v>
                </c:pt>
                <c:pt idx="3">
                  <c:v>25.61</c:v>
                </c:pt>
                <c:pt idx="4">
                  <c:v>27.83</c:v>
                </c:pt>
                <c:pt idx="5">
                  <c:v>29.98</c:v>
                </c:pt>
                <c:pt idx="6">
                  <c:v>32.21</c:v>
                </c:pt>
                <c:pt idx="7">
                  <c:v>34.53</c:v>
                </c:pt>
                <c:pt idx="8">
                  <c:v>36.270000000000003</c:v>
                </c:pt>
                <c:pt idx="9">
                  <c:v>38.630000000000003</c:v>
                </c:pt>
                <c:pt idx="10">
                  <c:v>40.659999999999997</c:v>
                </c:pt>
                <c:pt idx="11">
                  <c:v>42.86</c:v>
                </c:pt>
                <c:pt idx="12">
                  <c:v>45.72</c:v>
                </c:pt>
                <c:pt idx="13">
                  <c:v>49.32</c:v>
                </c:pt>
                <c:pt idx="14">
                  <c:v>53.93</c:v>
                </c:pt>
                <c:pt idx="15">
                  <c:v>59.47</c:v>
                </c:pt>
                <c:pt idx="16">
                  <c:v>68.87</c:v>
                </c:pt>
                <c:pt idx="17">
                  <c:v>82.41</c:v>
                </c:pt>
                <c:pt idx="18">
                  <c:v>107.61</c:v>
                </c:pt>
                <c:pt idx="19">
                  <c:v>167.75</c:v>
                </c:pt>
                <c:pt idx="20">
                  <c:v>427.66</c:v>
                </c:pt>
              </c:numCache>
            </c:numRef>
          </c:xVal>
          <c:yVal>
            <c:numRef>
              <c:f>'Run 1 (Alex)'!$G$44:$G$64</c:f>
              <c:numCache>
                <c:formatCode>General</c:formatCode>
                <c:ptCount val="21"/>
                <c:pt idx="0">
                  <c:v>7.6E-3</c:v>
                </c:pt>
                <c:pt idx="1">
                  <c:v>1.21E-2</c:v>
                </c:pt>
                <c:pt idx="2">
                  <c:v>1.18E-2</c:v>
                </c:pt>
                <c:pt idx="3">
                  <c:v>1.9599999999999999E-2</c:v>
                </c:pt>
                <c:pt idx="4">
                  <c:v>6.7999999999999996E-3</c:v>
                </c:pt>
                <c:pt idx="5">
                  <c:v>1.9E-2</c:v>
                </c:pt>
                <c:pt idx="6">
                  <c:v>1.4200000000000001E-2</c:v>
                </c:pt>
                <c:pt idx="7">
                  <c:v>6.4000000000000003E-3</c:v>
                </c:pt>
                <c:pt idx="8">
                  <c:v>1.15E-2</c:v>
                </c:pt>
                <c:pt idx="9">
                  <c:v>7.7999999999999996E-3</c:v>
                </c:pt>
                <c:pt idx="10">
                  <c:v>1.5800000000000002E-2</c:v>
                </c:pt>
                <c:pt idx="11">
                  <c:v>0.02</c:v>
                </c:pt>
                <c:pt idx="12">
                  <c:v>2.23E-2</c:v>
                </c:pt>
                <c:pt idx="13">
                  <c:v>1E-3</c:v>
                </c:pt>
                <c:pt idx="14">
                  <c:v>1.4200000000000001E-2</c:v>
                </c:pt>
                <c:pt idx="15">
                  <c:v>7.4000000000000003E-3</c:v>
                </c:pt>
                <c:pt idx="16">
                  <c:v>1.2500000000000001E-2</c:v>
                </c:pt>
                <c:pt idx="17">
                  <c:v>3.0999999999999999E-3</c:v>
                </c:pt>
                <c:pt idx="18">
                  <c:v>8.0000000000000002E-3</c:v>
                </c:pt>
                <c:pt idx="19">
                  <c:v>1.5800000000000002E-2</c:v>
                </c:pt>
                <c:pt idx="2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3A-45B6-B103-9C39D32D09D1}"/>
            </c:ext>
          </c:extLst>
        </c:ser>
        <c:ser>
          <c:idx val="4"/>
          <c:order val="3"/>
          <c:tx>
            <c:strRef>
              <c:f>'Run 1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(Alex)'!$E$65:$E$85</c:f>
              <c:numCache>
                <c:formatCode>General</c:formatCode>
                <c:ptCount val="21"/>
                <c:pt idx="0">
                  <c:v>78.69</c:v>
                </c:pt>
                <c:pt idx="1">
                  <c:v>78.430000000000007</c:v>
                </c:pt>
                <c:pt idx="2">
                  <c:v>82.89</c:v>
                </c:pt>
                <c:pt idx="3">
                  <c:v>85.77</c:v>
                </c:pt>
                <c:pt idx="4">
                  <c:v>93.57</c:v>
                </c:pt>
                <c:pt idx="5">
                  <c:v>100.29</c:v>
                </c:pt>
                <c:pt idx="6">
                  <c:v>107.08</c:v>
                </c:pt>
                <c:pt idx="7">
                  <c:v>115.51</c:v>
                </c:pt>
                <c:pt idx="8">
                  <c:v>121.56</c:v>
                </c:pt>
                <c:pt idx="9">
                  <c:v>129.97</c:v>
                </c:pt>
                <c:pt idx="10">
                  <c:v>136.54</c:v>
                </c:pt>
                <c:pt idx="11">
                  <c:v>143.85</c:v>
                </c:pt>
                <c:pt idx="12">
                  <c:v>153.71</c:v>
                </c:pt>
                <c:pt idx="13">
                  <c:v>165.68</c:v>
                </c:pt>
                <c:pt idx="14">
                  <c:v>180.46</c:v>
                </c:pt>
                <c:pt idx="15">
                  <c:v>199.63</c:v>
                </c:pt>
                <c:pt idx="16">
                  <c:v>230.35</c:v>
                </c:pt>
                <c:pt idx="17">
                  <c:v>274.26</c:v>
                </c:pt>
                <c:pt idx="18">
                  <c:v>352.86</c:v>
                </c:pt>
                <c:pt idx="19">
                  <c:v>541.91</c:v>
                </c:pt>
                <c:pt idx="20">
                  <c:v>1301.3699999999999</c:v>
                </c:pt>
              </c:numCache>
            </c:numRef>
          </c:xVal>
          <c:yVal>
            <c:numRef>
              <c:f>'Run 1 (Alex)'!$G$65:$G$85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4.4900000000000002E-2</c:v>
                </c:pt>
                <c:pt idx="2">
                  <c:v>3.5700000000000003E-2</c:v>
                </c:pt>
                <c:pt idx="3">
                  <c:v>3.6900000000000002E-2</c:v>
                </c:pt>
                <c:pt idx="4">
                  <c:v>4.6699999999999998E-2</c:v>
                </c:pt>
                <c:pt idx="5">
                  <c:v>4.4299999999999999E-2</c:v>
                </c:pt>
                <c:pt idx="6">
                  <c:v>4.1200000000000001E-2</c:v>
                </c:pt>
                <c:pt idx="7">
                  <c:v>3.2199999999999999E-2</c:v>
                </c:pt>
                <c:pt idx="8">
                  <c:v>3.7699999999999997E-2</c:v>
                </c:pt>
                <c:pt idx="9">
                  <c:v>4.7500000000000001E-2</c:v>
                </c:pt>
                <c:pt idx="10">
                  <c:v>5.0599999999999999E-2</c:v>
                </c:pt>
                <c:pt idx="11">
                  <c:v>4.41E-2</c:v>
                </c:pt>
                <c:pt idx="12">
                  <c:v>4.7399999999999998E-2</c:v>
                </c:pt>
                <c:pt idx="13">
                  <c:v>4.41E-2</c:v>
                </c:pt>
                <c:pt idx="14">
                  <c:v>5.1200000000000002E-2</c:v>
                </c:pt>
                <c:pt idx="15">
                  <c:v>4.4200000000000003E-2</c:v>
                </c:pt>
                <c:pt idx="16">
                  <c:v>4.41E-2</c:v>
                </c:pt>
                <c:pt idx="17">
                  <c:v>4.4299999999999999E-2</c:v>
                </c:pt>
                <c:pt idx="18">
                  <c:v>4.53E-2</c:v>
                </c:pt>
                <c:pt idx="19">
                  <c:v>4.6300000000000001E-2</c:v>
                </c:pt>
                <c:pt idx="20">
                  <c:v>5.1499999999999997E-2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3A-45B6-B103-9C39D32D09D1}"/>
            </c:ext>
          </c:extLst>
        </c:ser>
        <c:ser>
          <c:idx val="5"/>
          <c:order val="4"/>
          <c:tx>
            <c:strRef>
              <c:f>'Run 1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(Alex)'!$E$86:$E$106</c:f>
              <c:numCache>
                <c:formatCode>General</c:formatCode>
                <c:ptCount val="21"/>
                <c:pt idx="0">
                  <c:v>77.89</c:v>
                </c:pt>
                <c:pt idx="1">
                  <c:v>77.98</c:v>
                </c:pt>
                <c:pt idx="2">
                  <c:v>79.150000000000006</c:v>
                </c:pt>
                <c:pt idx="3">
                  <c:v>79.23</c:v>
                </c:pt>
                <c:pt idx="4">
                  <c:v>82.3</c:v>
                </c:pt>
                <c:pt idx="5">
                  <c:v>81.58</c:v>
                </c:pt>
                <c:pt idx="6">
                  <c:v>83.03</c:v>
                </c:pt>
                <c:pt idx="7">
                  <c:v>85.55</c:v>
                </c:pt>
                <c:pt idx="8">
                  <c:v>84.63</c:v>
                </c:pt>
                <c:pt idx="9">
                  <c:v>86.92</c:v>
                </c:pt>
                <c:pt idx="10">
                  <c:v>87.62</c:v>
                </c:pt>
                <c:pt idx="11">
                  <c:v>88.51</c:v>
                </c:pt>
                <c:pt idx="12">
                  <c:v>91.4</c:v>
                </c:pt>
                <c:pt idx="13">
                  <c:v>92.66</c:v>
                </c:pt>
                <c:pt idx="14">
                  <c:v>95.08</c:v>
                </c:pt>
                <c:pt idx="15">
                  <c:v>100.42</c:v>
                </c:pt>
                <c:pt idx="16">
                  <c:v>107.55</c:v>
                </c:pt>
                <c:pt idx="17">
                  <c:v>117.09</c:v>
                </c:pt>
                <c:pt idx="18">
                  <c:v>134.62</c:v>
                </c:pt>
                <c:pt idx="19">
                  <c:v>191</c:v>
                </c:pt>
                <c:pt idx="20">
                  <c:v>423.08</c:v>
                </c:pt>
              </c:numCache>
            </c:numRef>
          </c:xVal>
          <c:yVal>
            <c:numRef>
              <c:f>'Run 1 (Alex)'!$G$86:$G$106</c:f>
              <c:numCache>
                <c:formatCode>General</c:formatCode>
                <c:ptCount val="21"/>
                <c:pt idx="0">
                  <c:v>4.3400000000000001E-2</c:v>
                </c:pt>
                <c:pt idx="1">
                  <c:v>4.3999999999999997E-2</c:v>
                </c:pt>
                <c:pt idx="2">
                  <c:v>5.4800000000000001E-2</c:v>
                </c:pt>
                <c:pt idx="3">
                  <c:v>4.0099999999999997E-2</c:v>
                </c:pt>
                <c:pt idx="4">
                  <c:v>5.7700000000000001E-2</c:v>
                </c:pt>
                <c:pt idx="5">
                  <c:v>4.36E-2</c:v>
                </c:pt>
                <c:pt idx="6">
                  <c:v>4.2999999999999997E-2</c:v>
                </c:pt>
                <c:pt idx="7">
                  <c:v>4.2000000000000003E-2</c:v>
                </c:pt>
                <c:pt idx="8">
                  <c:v>4.6199999999999998E-2</c:v>
                </c:pt>
                <c:pt idx="9">
                  <c:v>4.2999999999999997E-2</c:v>
                </c:pt>
                <c:pt idx="10">
                  <c:v>4.41E-2</c:v>
                </c:pt>
                <c:pt idx="11">
                  <c:v>4.3999999999999997E-2</c:v>
                </c:pt>
                <c:pt idx="12">
                  <c:v>4.0099999999999997E-2</c:v>
                </c:pt>
                <c:pt idx="13">
                  <c:v>4.4200000000000003E-2</c:v>
                </c:pt>
                <c:pt idx="14">
                  <c:v>4.3299999999999998E-2</c:v>
                </c:pt>
                <c:pt idx="15">
                  <c:v>4.1799999999999997E-2</c:v>
                </c:pt>
                <c:pt idx="16">
                  <c:v>4.0099999999999997E-2</c:v>
                </c:pt>
                <c:pt idx="17">
                  <c:v>4.4200000000000003E-2</c:v>
                </c:pt>
                <c:pt idx="18">
                  <c:v>4.1000000000000002E-2</c:v>
                </c:pt>
                <c:pt idx="19">
                  <c:v>4.24E-2</c:v>
                </c:pt>
                <c:pt idx="20">
                  <c:v>4.7E-2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3A-45B6-B103-9C39D32D09D1}"/>
            </c:ext>
          </c:extLst>
        </c:ser>
        <c:ser>
          <c:idx val="0"/>
          <c:order val="5"/>
          <c:tx>
            <c:strRef>
              <c:f>'Run 1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(Alex)'!$E$107:$E$127</c:f>
              <c:numCache>
                <c:formatCode>General</c:formatCode>
                <c:ptCount val="21"/>
                <c:pt idx="0">
                  <c:v>6.5</c:v>
                </c:pt>
                <c:pt idx="1">
                  <c:v>6.52</c:v>
                </c:pt>
                <c:pt idx="2">
                  <c:v>6.74</c:v>
                </c:pt>
                <c:pt idx="3">
                  <c:v>6.9</c:v>
                </c:pt>
                <c:pt idx="4">
                  <c:v>7.22</c:v>
                </c:pt>
                <c:pt idx="5">
                  <c:v>7.34</c:v>
                </c:pt>
                <c:pt idx="6">
                  <c:v>7.58</c:v>
                </c:pt>
                <c:pt idx="7">
                  <c:v>7.92</c:v>
                </c:pt>
                <c:pt idx="8">
                  <c:v>8.1300000000000008</c:v>
                </c:pt>
                <c:pt idx="9">
                  <c:v>8.51</c:v>
                </c:pt>
                <c:pt idx="10">
                  <c:v>8.7899999999999991</c:v>
                </c:pt>
                <c:pt idx="11">
                  <c:v>9.1199999999999992</c:v>
                </c:pt>
                <c:pt idx="12">
                  <c:v>9.67</c:v>
                </c:pt>
                <c:pt idx="13">
                  <c:v>10.23</c:v>
                </c:pt>
                <c:pt idx="14">
                  <c:v>10.95</c:v>
                </c:pt>
                <c:pt idx="15">
                  <c:v>12.07</c:v>
                </c:pt>
                <c:pt idx="16">
                  <c:v>13.96</c:v>
                </c:pt>
                <c:pt idx="17">
                  <c:v>16.809999999999999</c:v>
                </c:pt>
                <c:pt idx="18">
                  <c:v>22.16</c:v>
                </c:pt>
                <c:pt idx="19">
                  <c:v>35.299999999999997</c:v>
                </c:pt>
                <c:pt idx="20">
                  <c:v>87.54</c:v>
                </c:pt>
              </c:numCache>
            </c:numRef>
          </c:xVal>
          <c:yVal>
            <c:numRef>
              <c:f>'Run 1 (Alex)'!$G$107:$G$127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1.5699999999999999E-2</c:v>
                </c:pt>
                <c:pt idx="11">
                  <c:v>4.0000000000000001E-3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3A-45B6-B103-9C39D32D09D1}"/>
            </c:ext>
          </c:extLst>
        </c:ser>
        <c:ser>
          <c:idx val="6"/>
          <c:order val="6"/>
          <c:tx>
            <c:strRef>
              <c:f>'Run 1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(Alex)'!$E$128:$E$148</c:f>
              <c:numCache>
                <c:formatCode>General</c:formatCode>
                <c:ptCount val="21"/>
                <c:pt idx="0">
                  <c:v>11.2</c:v>
                </c:pt>
                <c:pt idx="1">
                  <c:v>11.36</c:v>
                </c:pt>
                <c:pt idx="2">
                  <c:v>12.53</c:v>
                </c:pt>
                <c:pt idx="3">
                  <c:v>13.57</c:v>
                </c:pt>
                <c:pt idx="4">
                  <c:v>14.76</c:v>
                </c:pt>
                <c:pt idx="5">
                  <c:v>15.8</c:v>
                </c:pt>
                <c:pt idx="6">
                  <c:v>16.91</c:v>
                </c:pt>
                <c:pt idx="7">
                  <c:v>17.899999999999999</c:v>
                </c:pt>
                <c:pt idx="8">
                  <c:v>18.73</c:v>
                </c:pt>
                <c:pt idx="9">
                  <c:v>20.09</c:v>
                </c:pt>
                <c:pt idx="10">
                  <c:v>21.04</c:v>
                </c:pt>
                <c:pt idx="11">
                  <c:v>22.12</c:v>
                </c:pt>
                <c:pt idx="12">
                  <c:v>23.8</c:v>
                </c:pt>
                <c:pt idx="13">
                  <c:v>25.75</c:v>
                </c:pt>
                <c:pt idx="14">
                  <c:v>27.54</c:v>
                </c:pt>
                <c:pt idx="15">
                  <c:v>29.98</c:v>
                </c:pt>
                <c:pt idx="16">
                  <c:v>34.18</c:v>
                </c:pt>
                <c:pt idx="17">
                  <c:v>38.83</c:v>
                </c:pt>
                <c:pt idx="18">
                  <c:v>46.47</c:v>
                </c:pt>
                <c:pt idx="19">
                  <c:v>65.91</c:v>
                </c:pt>
                <c:pt idx="20">
                  <c:v>161.97999999999999</c:v>
                </c:pt>
              </c:numCache>
            </c:numRef>
          </c:xVal>
          <c:yVal>
            <c:numRef>
              <c:f>'Run 1 (Alex)'!$G$128:$G$148</c:f>
              <c:numCache>
                <c:formatCode>General</c:formatCode>
                <c:ptCount val="21"/>
                <c:pt idx="0">
                  <c:v>6.0000000000000001E-3</c:v>
                </c:pt>
                <c:pt idx="1">
                  <c:v>6.0000000000000001E-3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5.3E-3</c:v>
                </c:pt>
                <c:pt idx="5">
                  <c:v>6.0000000000000001E-3</c:v>
                </c:pt>
                <c:pt idx="6">
                  <c:v>5.4999999999999997E-3</c:v>
                </c:pt>
                <c:pt idx="7">
                  <c:v>6.8999999999999999E-3</c:v>
                </c:pt>
                <c:pt idx="8">
                  <c:v>6.0000000000000001E-3</c:v>
                </c:pt>
                <c:pt idx="9">
                  <c:v>6.1000000000000004E-3</c:v>
                </c:pt>
                <c:pt idx="10">
                  <c:v>6.0000000000000001E-3</c:v>
                </c:pt>
                <c:pt idx="11">
                  <c:v>7.0000000000000001E-3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6.8999999999999999E-3</c:v>
                </c:pt>
                <c:pt idx="19">
                  <c:v>5.7999999999999996E-3</c:v>
                </c:pt>
                <c:pt idx="20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3A-45B6-B103-9C39D32D09D1}"/>
            </c:ext>
          </c:extLst>
        </c:ser>
        <c:ser>
          <c:idx val="7"/>
          <c:order val="7"/>
          <c:tx>
            <c:strRef>
              <c:f>'Run 1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(Alex)'!$E$149:$E$169</c:f>
              <c:numCache>
                <c:formatCode>General</c:formatCode>
                <c:ptCount val="21"/>
                <c:pt idx="0">
                  <c:v>24.25</c:v>
                </c:pt>
                <c:pt idx="1">
                  <c:v>24.67</c:v>
                </c:pt>
                <c:pt idx="2">
                  <c:v>27.84</c:v>
                </c:pt>
                <c:pt idx="3">
                  <c:v>31.46</c:v>
                </c:pt>
                <c:pt idx="4">
                  <c:v>35.33</c:v>
                </c:pt>
                <c:pt idx="5">
                  <c:v>39.15</c:v>
                </c:pt>
                <c:pt idx="6">
                  <c:v>42.77</c:v>
                </c:pt>
                <c:pt idx="7">
                  <c:v>46.47</c:v>
                </c:pt>
                <c:pt idx="8">
                  <c:v>49.6</c:v>
                </c:pt>
                <c:pt idx="9">
                  <c:v>53.33</c:v>
                </c:pt>
                <c:pt idx="10">
                  <c:v>56.58</c:v>
                </c:pt>
                <c:pt idx="11">
                  <c:v>59.9</c:v>
                </c:pt>
                <c:pt idx="12">
                  <c:v>64.33</c:v>
                </c:pt>
                <c:pt idx="13">
                  <c:v>70.11</c:v>
                </c:pt>
                <c:pt idx="14">
                  <c:v>77.17</c:v>
                </c:pt>
                <c:pt idx="15">
                  <c:v>85.67</c:v>
                </c:pt>
                <c:pt idx="16">
                  <c:v>99.37</c:v>
                </c:pt>
                <c:pt idx="17">
                  <c:v>118.7</c:v>
                </c:pt>
                <c:pt idx="18">
                  <c:v>154.93</c:v>
                </c:pt>
                <c:pt idx="19">
                  <c:v>240.76</c:v>
                </c:pt>
                <c:pt idx="20">
                  <c:v>589.16999999999996</c:v>
                </c:pt>
              </c:numCache>
            </c:numRef>
          </c:xVal>
          <c:yVal>
            <c:numRef>
              <c:f>'Run 1 (Alex)'!$G$149:$G$169</c:f>
              <c:numCache>
                <c:formatCode>General</c:formatCode>
                <c:ptCount val="21"/>
                <c:pt idx="0">
                  <c:v>2.0199999999999999E-2</c:v>
                </c:pt>
                <c:pt idx="1">
                  <c:v>2.0500000000000001E-2</c:v>
                </c:pt>
                <c:pt idx="2">
                  <c:v>1.24E-2</c:v>
                </c:pt>
                <c:pt idx="3">
                  <c:v>2.1000000000000001E-2</c:v>
                </c:pt>
                <c:pt idx="4">
                  <c:v>1.7000000000000001E-2</c:v>
                </c:pt>
                <c:pt idx="5">
                  <c:v>1.2200000000000001E-2</c:v>
                </c:pt>
                <c:pt idx="6">
                  <c:v>1.9800000000000002E-2</c:v>
                </c:pt>
                <c:pt idx="7">
                  <c:v>1.8599999999999998E-2</c:v>
                </c:pt>
                <c:pt idx="8">
                  <c:v>1.5800000000000002E-2</c:v>
                </c:pt>
                <c:pt idx="9">
                  <c:v>1.3899999999999999E-2</c:v>
                </c:pt>
                <c:pt idx="10">
                  <c:v>1.4E-2</c:v>
                </c:pt>
                <c:pt idx="11">
                  <c:v>2.53E-2</c:v>
                </c:pt>
                <c:pt idx="12">
                  <c:v>1.4E-2</c:v>
                </c:pt>
                <c:pt idx="13">
                  <c:v>2.53E-2</c:v>
                </c:pt>
                <c:pt idx="14">
                  <c:v>1.4E-2</c:v>
                </c:pt>
                <c:pt idx="15">
                  <c:v>1.6E-2</c:v>
                </c:pt>
                <c:pt idx="16">
                  <c:v>1.35E-2</c:v>
                </c:pt>
                <c:pt idx="17">
                  <c:v>1.46E-2</c:v>
                </c:pt>
                <c:pt idx="18">
                  <c:v>1.5100000000000001E-2</c:v>
                </c:pt>
                <c:pt idx="19">
                  <c:v>1.6E-2</c:v>
                </c:pt>
                <c:pt idx="2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3A-45B6-B103-9C39D32D09D1}"/>
            </c:ext>
          </c:extLst>
        </c:ser>
        <c:ser>
          <c:idx val="8"/>
          <c:order val="8"/>
          <c:tx>
            <c:strRef>
              <c:f>'Run 1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(Alex)'!$E$170:$E$190</c:f>
              <c:numCache>
                <c:formatCode>General</c:formatCode>
                <c:ptCount val="21"/>
                <c:pt idx="0">
                  <c:v>24.38</c:v>
                </c:pt>
                <c:pt idx="1">
                  <c:v>24.56</c:v>
                </c:pt>
                <c:pt idx="2">
                  <c:v>26.65</c:v>
                </c:pt>
                <c:pt idx="3">
                  <c:v>29.35</c:v>
                </c:pt>
                <c:pt idx="4">
                  <c:v>32.380000000000003</c:v>
                </c:pt>
                <c:pt idx="5">
                  <c:v>35.200000000000003</c:v>
                </c:pt>
                <c:pt idx="6">
                  <c:v>38.1</c:v>
                </c:pt>
                <c:pt idx="7">
                  <c:v>41.6</c:v>
                </c:pt>
                <c:pt idx="8">
                  <c:v>43.62</c:v>
                </c:pt>
                <c:pt idx="9">
                  <c:v>46.66</c:v>
                </c:pt>
                <c:pt idx="10">
                  <c:v>49.1</c:v>
                </c:pt>
                <c:pt idx="11">
                  <c:v>51.87</c:v>
                </c:pt>
                <c:pt idx="12">
                  <c:v>55.45</c:v>
                </c:pt>
                <c:pt idx="13">
                  <c:v>59.65</c:v>
                </c:pt>
                <c:pt idx="14">
                  <c:v>65.33</c:v>
                </c:pt>
                <c:pt idx="15">
                  <c:v>72.27</c:v>
                </c:pt>
                <c:pt idx="16">
                  <c:v>83.91</c:v>
                </c:pt>
                <c:pt idx="17">
                  <c:v>100.41</c:v>
                </c:pt>
                <c:pt idx="18">
                  <c:v>132.16999999999999</c:v>
                </c:pt>
                <c:pt idx="19">
                  <c:v>208.67</c:v>
                </c:pt>
                <c:pt idx="20">
                  <c:v>511.83</c:v>
                </c:pt>
              </c:numCache>
            </c:numRef>
          </c:xVal>
          <c:yVal>
            <c:numRef>
              <c:f>'Run 1 (Alex)'!$G$170:$G$190</c:f>
              <c:numCache>
                <c:formatCode>General</c:formatCode>
                <c:ptCount val="21"/>
                <c:pt idx="0">
                  <c:v>1.8499999999999999E-2</c:v>
                </c:pt>
                <c:pt idx="1">
                  <c:v>2.3800000000000002E-2</c:v>
                </c:pt>
                <c:pt idx="2">
                  <c:v>1.4E-2</c:v>
                </c:pt>
                <c:pt idx="3">
                  <c:v>2.2700000000000001E-2</c:v>
                </c:pt>
                <c:pt idx="4">
                  <c:v>1.9300000000000001E-2</c:v>
                </c:pt>
                <c:pt idx="5">
                  <c:v>1.38E-2</c:v>
                </c:pt>
                <c:pt idx="6">
                  <c:v>1.4E-2</c:v>
                </c:pt>
                <c:pt idx="7">
                  <c:v>1.4E-2</c:v>
                </c:pt>
                <c:pt idx="8">
                  <c:v>1.4E-2</c:v>
                </c:pt>
                <c:pt idx="9">
                  <c:v>2.87E-2</c:v>
                </c:pt>
                <c:pt idx="10">
                  <c:v>1.2999999999999999E-2</c:v>
                </c:pt>
                <c:pt idx="11">
                  <c:v>2.4899999999999999E-2</c:v>
                </c:pt>
                <c:pt idx="12">
                  <c:v>2.5600000000000001E-2</c:v>
                </c:pt>
                <c:pt idx="13">
                  <c:v>2.9600000000000001E-2</c:v>
                </c:pt>
                <c:pt idx="14">
                  <c:v>1.2999999999999999E-2</c:v>
                </c:pt>
                <c:pt idx="15">
                  <c:v>1.4999999999999999E-2</c:v>
                </c:pt>
                <c:pt idx="16">
                  <c:v>1.55E-2</c:v>
                </c:pt>
                <c:pt idx="17">
                  <c:v>1.4E-2</c:v>
                </c:pt>
                <c:pt idx="18">
                  <c:v>1.41E-2</c:v>
                </c:pt>
                <c:pt idx="19">
                  <c:v>1.5100000000000001E-2</c:v>
                </c:pt>
                <c:pt idx="20">
                  <c:v>1.7600000000000001E-2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83A-45B6-B103-9C39D32D09D1}"/>
            </c:ext>
          </c:extLst>
        </c:ser>
        <c:ser>
          <c:idx val="9"/>
          <c:order val="9"/>
          <c:tx>
            <c:strRef>
              <c:f>'Run 1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(Alex)'!$E$191:$E$211</c:f>
              <c:numCache>
                <c:formatCode>General</c:formatCode>
                <c:ptCount val="21"/>
                <c:pt idx="0">
                  <c:v>62.13</c:v>
                </c:pt>
                <c:pt idx="1">
                  <c:v>62.37</c:v>
                </c:pt>
                <c:pt idx="2">
                  <c:v>64.099999999999994</c:v>
                </c:pt>
                <c:pt idx="3">
                  <c:v>65.87</c:v>
                </c:pt>
                <c:pt idx="4">
                  <c:v>67.900000000000006</c:v>
                </c:pt>
                <c:pt idx="5">
                  <c:v>69.790000000000006</c:v>
                </c:pt>
                <c:pt idx="6">
                  <c:v>72.290000000000006</c:v>
                </c:pt>
                <c:pt idx="7">
                  <c:v>74.59</c:v>
                </c:pt>
                <c:pt idx="8">
                  <c:v>76.45</c:v>
                </c:pt>
                <c:pt idx="9">
                  <c:v>78.599999999999994</c:v>
                </c:pt>
                <c:pt idx="10">
                  <c:v>80.94</c:v>
                </c:pt>
                <c:pt idx="11">
                  <c:v>83.26</c:v>
                </c:pt>
                <c:pt idx="12">
                  <c:v>86.18</c:v>
                </c:pt>
                <c:pt idx="13">
                  <c:v>89.96</c:v>
                </c:pt>
                <c:pt idx="14">
                  <c:v>95.16</c:v>
                </c:pt>
                <c:pt idx="15">
                  <c:v>102.51</c:v>
                </c:pt>
                <c:pt idx="16">
                  <c:v>115.44</c:v>
                </c:pt>
                <c:pt idx="17">
                  <c:v>134.4</c:v>
                </c:pt>
                <c:pt idx="18">
                  <c:v>173.83</c:v>
                </c:pt>
                <c:pt idx="19">
                  <c:v>280.14999999999998</c:v>
                </c:pt>
                <c:pt idx="20">
                  <c:v>781.66</c:v>
                </c:pt>
              </c:numCache>
            </c:numRef>
          </c:xVal>
          <c:yVal>
            <c:numRef>
              <c:f>'Run 1 (Alex)'!$G$191:$G$211</c:f>
              <c:numCache>
                <c:formatCode>General</c:formatCode>
                <c:ptCount val="21"/>
                <c:pt idx="0">
                  <c:v>4.07E-2</c:v>
                </c:pt>
                <c:pt idx="1">
                  <c:v>4.7399999999999998E-2</c:v>
                </c:pt>
                <c:pt idx="2">
                  <c:v>4.2099999999999999E-2</c:v>
                </c:pt>
                <c:pt idx="3">
                  <c:v>3.3000000000000002E-2</c:v>
                </c:pt>
                <c:pt idx="4">
                  <c:v>4.41E-2</c:v>
                </c:pt>
                <c:pt idx="5">
                  <c:v>4.3299999999999998E-2</c:v>
                </c:pt>
                <c:pt idx="6">
                  <c:v>4.6100000000000002E-2</c:v>
                </c:pt>
                <c:pt idx="7">
                  <c:v>4.2299999999999997E-2</c:v>
                </c:pt>
                <c:pt idx="8">
                  <c:v>3.4000000000000002E-2</c:v>
                </c:pt>
                <c:pt idx="9">
                  <c:v>3.5299999999999998E-2</c:v>
                </c:pt>
                <c:pt idx="10">
                  <c:v>3.2099999999999997E-2</c:v>
                </c:pt>
                <c:pt idx="11">
                  <c:v>4.7E-2</c:v>
                </c:pt>
                <c:pt idx="12">
                  <c:v>3.4000000000000002E-2</c:v>
                </c:pt>
                <c:pt idx="13">
                  <c:v>3.1E-2</c:v>
                </c:pt>
                <c:pt idx="14">
                  <c:v>3.4000000000000002E-2</c:v>
                </c:pt>
                <c:pt idx="15">
                  <c:v>3.3000000000000002E-2</c:v>
                </c:pt>
                <c:pt idx="16">
                  <c:v>3.15E-2</c:v>
                </c:pt>
                <c:pt idx="17">
                  <c:v>3.5099999999999999E-2</c:v>
                </c:pt>
                <c:pt idx="18">
                  <c:v>3.5999999999999997E-2</c:v>
                </c:pt>
                <c:pt idx="19">
                  <c:v>4.0899999999999999E-2</c:v>
                </c:pt>
                <c:pt idx="20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3A-45B6-B103-9C39D32D09D1}"/>
            </c:ext>
          </c:extLst>
        </c:ser>
        <c:ser>
          <c:idx val="10"/>
          <c:order val="10"/>
          <c:tx>
            <c:strRef>
              <c:f>'Run 1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(Alex)'!$E$212:$E$232</c:f>
              <c:numCache>
                <c:formatCode>General</c:formatCode>
                <c:ptCount val="21"/>
                <c:pt idx="0">
                  <c:v>88.07</c:v>
                </c:pt>
                <c:pt idx="1">
                  <c:v>89.14</c:v>
                </c:pt>
                <c:pt idx="2">
                  <c:v>96.88</c:v>
                </c:pt>
                <c:pt idx="3">
                  <c:v>107.43</c:v>
                </c:pt>
                <c:pt idx="4">
                  <c:v>119.62</c:v>
                </c:pt>
                <c:pt idx="5">
                  <c:v>133.03</c:v>
                </c:pt>
                <c:pt idx="6">
                  <c:v>146.61000000000001</c:v>
                </c:pt>
                <c:pt idx="7">
                  <c:v>160.29</c:v>
                </c:pt>
                <c:pt idx="8">
                  <c:v>172.4</c:v>
                </c:pt>
                <c:pt idx="9">
                  <c:v>187.06</c:v>
                </c:pt>
                <c:pt idx="10">
                  <c:v>199.93</c:v>
                </c:pt>
                <c:pt idx="11">
                  <c:v>213.8</c:v>
                </c:pt>
                <c:pt idx="12">
                  <c:v>230.91</c:v>
                </c:pt>
                <c:pt idx="13">
                  <c:v>254.01</c:v>
                </c:pt>
                <c:pt idx="14">
                  <c:v>282.49</c:v>
                </c:pt>
                <c:pt idx="15">
                  <c:v>317.14</c:v>
                </c:pt>
                <c:pt idx="16">
                  <c:v>374.48</c:v>
                </c:pt>
                <c:pt idx="17">
                  <c:v>456</c:v>
                </c:pt>
                <c:pt idx="18">
                  <c:v>605.26</c:v>
                </c:pt>
                <c:pt idx="19">
                  <c:v>979.58</c:v>
                </c:pt>
                <c:pt idx="20">
                  <c:v>2441.2800000000002</c:v>
                </c:pt>
              </c:numCache>
            </c:numRef>
          </c:xVal>
          <c:yVal>
            <c:numRef>
              <c:f>'Run 1 (Alex)'!$G$212:$G$232</c:f>
              <c:numCache>
                <c:formatCode>General</c:formatCode>
                <c:ptCount val="21"/>
                <c:pt idx="0">
                  <c:v>4.6800000000000001E-2</c:v>
                </c:pt>
                <c:pt idx="1">
                  <c:v>4.7399999999999998E-2</c:v>
                </c:pt>
                <c:pt idx="2">
                  <c:v>4.3999999999999997E-2</c:v>
                </c:pt>
                <c:pt idx="3">
                  <c:v>4.8099999999999997E-2</c:v>
                </c:pt>
                <c:pt idx="4">
                  <c:v>4.7100000000000003E-2</c:v>
                </c:pt>
                <c:pt idx="5">
                  <c:v>4.7199999999999999E-2</c:v>
                </c:pt>
                <c:pt idx="6">
                  <c:v>4.7199999999999999E-2</c:v>
                </c:pt>
                <c:pt idx="7">
                  <c:v>4.82E-2</c:v>
                </c:pt>
                <c:pt idx="8">
                  <c:v>4.7199999999999999E-2</c:v>
                </c:pt>
                <c:pt idx="9">
                  <c:v>4.82E-2</c:v>
                </c:pt>
                <c:pt idx="10">
                  <c:v>4.5699999999999998E-2</c:v>
                </c:pt>
                <c:pt idx="11">
                  <c:v>4.9399999999999999E-2</c:v>
                </c:pt>
                <c:pt idx="12">
                  <c:v>4.7300000000000002E-2</c:v>
                </c:pt>
                <c:pt idx="13">
                  <c:v>4.9000000000000002E-2</c:v>
                </c:pt>
                <c:pt idx="14">
                  <c:v>4.7199999999999999E-2</c:v>
                </c:pt>
                <c:pt idx="15">
                  <c:v>4.82E-2</c:v>
                </c:pt>
                <c:pt idx="16">
                  <c:v>4.8099999999999997E-2</c:v>
                </c:pt>
                <c:pt idx="17">
                  <c:v>5.0299999999999997E-2</c:v>
                </c:pt>
                <c:pt idx="18">
                  <c:v>6.6000000000000003E-2</c:v>
                </c:pt>
                <c:pt idx="19">
                  <c:v>6.3399999999999998E-2</c:v>
                </c:pt>
                <c:pt idx="20">
                  <c:v>6.2E-2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3A-45B6-B103-9C39D32D09D1}"/>
            </c:ext>
          </c:extLst>
        </c:ser>
        <c:ser>
          <c:idx val="11"/>
          <c:order val="11"/>
          <c:tx>
            <c:strRef>
              <c:f>'Run 1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(Alex)'!$E$233:$E$253</c:f>
              <c:numCache>
                <c:formatCode>General</c:formatCode>
                <c:ptCount val="21"/>
                <c:pt idx="0">
                  <c:v>22.89</c:v>
                </c:pt>
                <c:pt idx="1">
                  <c:v>23</c:v>
                </c:pt>
                <c:pt idx="2">
                  <c:v>24.42</c:v>
                </c:pt>
                <c:pt idx="3">
                  <c:v>25.06</c:v>
                </c:pt>
                <c:pt idx="4">
                  <c:v>25.95</c:v>
                </c:pt>
                <c:pt idx="5">
                  <c:v>27.25</c:v>
                </c:pt>
                <c:pt idx="6">
                  <c:v>28.32</c:v>
                </c:pt>
                <c:pt idx="7">
                  <c:v>29.21</c:v>
                </c:pt>
                <c:pt idx="8">
                  <c:v>30.32</c:v>
                </c:pt>
                <c:pt idx="9">
                  <c:v>31.31</c:v>
                </c:pt>
                <c:pt idx="10">
                  <c:v>32.61</c:v>
                </c:pt>
                <c:pt idx="11">
                  <c:v>33.97</c:v>
                </c:pt>
                <c:pt idx="12">
                  <c:v>35.35</c:v>
                </c:pt>
                <c:pt idx="13">
                  <c:v>37.49</c:v>
                </c:pt>
                <c:pt idx="14">
                  <c:v>40.340000000000003</c:v>
                </c:pt>
                <c:pt idx="15">
                  <c:v>43.88</c:v>
                </c:pt>
                <c:pt idx="16">
                  <c:v>50.22</c:v>
                </c:pt>
                <c:pt idx="17">
                  <c:v>60.79</c:v>
                </c:pt>
                <c:pt idx="18">
                  <c:v>83.45</c:v>
                </c:pt>
                <c:pt idx="19">
                  <c:v>148.09</c:v>
                </c:pt>
                <c:pt idx="20">
                  <c:v>499.53</c:v>
                </c:pt>
              </c:numCache>
            </c:numRef>
          </c:xVal>
          <c:yVal>
            <c:numRef>
              <c:f>'Run 1 (Alex)'!$G$233:$G$253</c:f>
              <c:numCache>
                <c:formatCode>General</c:formatCode>
                <c:ptCount val="21"/>
                <c:pt idx="0">
                  <c:v>1.5100000000000001E-2</c:v>
                </c:pt>
                <c:pt idx="1">
                  <c:v>1.7500000000000002E-2</c:v>
                </c:pt>
                <c:pt idx="2">
                  <c:v>2.1399999999999999E-2</c:v>
                </c:pt>
                <c:pt idx="3">
                  <c:v>1.26E-2</c:v>
                </c:pt>
                <c:pt idx="4">
                  <c:v>1.7100000000000001E-2</c:v>
                </c:pt>
                <c:pt idx="5">
                  <c:v>1.2800000000000001E-2</c:v>
                </c:pt>
                <c:pt idx="6">
                  <c:v>1.54E-2</c:v>
                </c:pt>
                <c:pt idx="7">
                  <c:v>1.95E-2</c:v>
                </c:pt>
                <c:pt idx="8">
                  <c:v>2.0199999999999999E-2</c:v>
                </c:pt>
                <c:pt idx="9">
                  <c:v>2.3800000000000002E-2</c:v>
                </c:pt>
                <c:pt idx="10">
                  <c:v>2.01E-2</c:v>
                </c:pt>
                <c:pt idx="11">
                  <c:v>2.06E-2</c:v>
                </c:pt>
                <c:pt idx="12">
                  <c:v>1.2999999999999999E-2</c:v>
                </c:pt>
                <c:pt idx="13">
                  <c:v>2.7199999999999998E-2</c:v>
                </c:pt>
                <c:pt idx="14">
                  <c:v>2.1100000000000001E-2</c:v>
                </c:pt>
                <c:pt idx="15">
                  <c:v>1.9E-2</c:v>
                </c:pt>
                <c:pt idx="16">
                  <c:v>2.47E-2</c:v>
                </c:pt>
                <c:pt idx="17">
                  <c:v>2.4199999999999999E-2</c:v>
                </c:pt>
                <c:pt idx="18">
                  <c:v>2.7199999999999998E-2</c:v>
                </c:pt>
                <c:pt idx="19">
                  <c:v>1.2999999999999999E-2</c:v>
                </c:pt>
                <c:pt idx="2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83A-45B6-B103-9C39D32D09D1}"/>
            </c:ext>
          </c:extLst>
        </c:ser>
        <c:ser>
          <c:idx val="12"/>
          <c:order val="12"/>
          <c:tx>
            <c:strRef>
              <c:f>'Run 1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(Alex)'!$E$254:$E$273</c:f>
              <c:numCache>
                <c:formatCode>General</c:formatCode>
                <c:ptCount val="20"/>
                <c:pt idx="0">
                  <c:v>31.96</c:v>
                </c:pt>
                <c:pt idx="1">
                  <c:v>33.11</c:v>
                </c:pt>
                <c:pt idx="2">
                  <c:v>35.950000000000003</c:v>
                </c:pt>
                <c:pt idx="3">
                  <c:v>38.450000000000003</c:v>
                </c:pt>
                <c:pt idx="4">
                  <c:v>41.56</c:v>
                </c:pt>
                <c:pt idx="5">
                  <c:v>44.25</c:v>
                </c:pt>
                <c:pt idx="6">
                  <c:v>46.89</c:v>
                </c:pt>
                <c:pt idx="7">
                  <c:v>50.43</c:v>
                </c:pt>
                <c:pt idx="8">
                  <c:v>53.03</c:v>
                </c:pt>
                <c:pt idx="9">
                  <c:v>56.27</c:v>
                </c:pt>
                <c:pt idx="10">
                  <c:v>59.34</c:v>
                </c:pt>
                <c:pt idx="11">
                  <c:v>61.89</c:v>
                </c:pt>
                <c:pt idx="12">
                  <c:v>65.8</c:v>
                </c:pt>
                <c:pt idx="13">
                  <c:v>70.69</c:v>
                </c:pt>
                <c:pt idx="14">
                  <c:v>76.58</c:v>
                </c:pt>
                <c:pt idx="15">
                  <c:v>83.85</c:v>
                </c:pt>
                <c:pt idx="16">
                  <c:v>93.72</c:v>
                </c:pt>
                <c:pt idx="17">
                  <c:v>107.75</c:v>
                </c:pt>
                <c:pt idx="18">
                  <c:v>134.46</c:v>
                </c:pt>
                <c:pt idx="19">
                  <c:v>201.36</c:v>
                </c:pt>
              </c:numCache>
            </c:numRef>
          </c:xVal>
          <c:yVal>
            <c:numRef>
              <c:f>'Run 1 (Alex)'!$G$254:$G$273</c:f>
              <c:numCache>
                <c:formatCode>General</c:formatCode>
                <c:ptCount val="20"/>
                <c:pt idx="0">
                  <c:v>3.1699999999999999E-2</c:v>
                </c:pt>
                <c:pt idx="1">
                  <c:v>2.6800000000000001E-2</c:v>
                </c:pt>
                <c:pt idx="2">
                  <c:v>2.87E-2</c:v>
                </c:pt>
                <c:pt idx="3">
                  <c:v>1.7000000000000001E-2</c:v>
                </c:pt>
                <c:pt idx="4">
                  <c:v>2.2800000000000001E-2</c:v>
                </c:pt>
                <c:pt idx="5">
                  <c:v>1.7000000000000001E-2</c:v>
                </c:pt>
                <c:pt idx="6">
                  <c:v>2.5499999999999998E-2</c:v>
                </c:pt>
                <c:pt idx="7">
                  <c:v>1.7899999999999999E-2</c:v>
                </c:pt>
                <c:pt idx="8">
                  <c:v>1.6E-2</c:v>
                </c:pt>
                <c:pt idx="9">
                  <c:v>3.1699999999999999E-2</c:v>
                </c:pt>
                <c:pt idx="10">
                  <c:v>1.7000000000000001E-2</c:v>
                </c:pt>
                <c:pt idx="11">
                  <c:v>2.46E-2</c:v>
                </c:pt>
                <c:pt idx="12">
                  <c:v>1.77E-2</c:v>
                </c:pt>
                <c:pt idx="13">
                  <c:v>3.1600000000000003E-2</c:v>
                </c:pt>
                <c:pt idx="14">
                  <c:v>1.9E-2</c:v>
                </c:pt>
                <c:pt idx="15">
                  <c:v>3.0599999999999999E-2</c:v>
                </c:pt>
                <c:pt idx="16">
                  <c:v>1.7000000000000001E-2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1.8100000000000002E-2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83A-45B6-B103-9C39D32D09D1}"/>
            </c:ext>
          </c:extLst>
        </c:ser>
        <c:ser>
          <c:idx val="13"/>
          <c:order val="13"/>
          <c:tx>
            <c:strRef>
              <c:f>'Run 1 (Alex)'!$A$274</c:f>
              <c:strCache>
                <c:ptCount val="1"/>
                <c:pt idx="0">
                  <c:v>Tanks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(Alex)'!$E$274:$E$295</c:f>
              <c:numCache>
                <c:formatCode>General</c:formatCode>
                <c:ptCount val="22"/>
                <c:pt idx="0">
                  <c:v>241.25</c:v>
                </c:pt>
                <c:pt idx="1">
                  <c:v>13.5</c:v>
                </c:pt>
                <c:pt idx="2">
                  <c:v>13.5</c:v>
                </c:pt>
                <c:pt idx="3">
                  <c:v>14.07</c:v>
                </c:pt>
                <c:pt idx="4">
                  <c:v>14.32</c:v>
                </c:pt>
                <c:pt idx="5">
                  <c:v>14.83</c:v>
                </c:pt>
                <c:pt idx="6">
                  <c:v>15.61</c:v>
                </c:pt>
                <c:pt idx="7">
                  <c:v>16.18</c:v>
                </c:pt>
                <c:pt idx="8">
                  <c:v>16.79</c:v>
                </c:pt>
                <c:pt idx="9">
                  <c:v>17.510000000000002</c:v>
                </c:pt>
                <c:pt idx="10">
                  <c:v>18.2</c:v>
                </c:pt>
                <c:pt idx="11">
                  <c:v>18.97</c:v>
                </c:pt>
                <c:pt idx="12">
                  <c:v>19.75</c:v>
                </c:pt>
                <c:pt idx="13">
                  <c:v>20.74</c:v>
                </c:pt>
                <c:pt idx="14">
                  <c:v>22.18</c:v>
                </c:pt>
                <c:pt idx="15">
                  <c:v>24.12</c:v>
                </c:pt>
                <c:pt idx="16">
                  <c:v>26.55</c:v>
                </c:pt>
                <c:pt idx="17">
                  <c:v>30.8</c:v>
                </c:pt>
                <c:pt idx="18">
                  <c:v>37.630000000000003</c:v>
                </c:pt>
                <c:pt idx="19">
                  <c:v>51.29</c:v>
                </c:pt>
                <c:pt idx="20">
                  <c:v>86.84</c:v>
                </c:pt>
                <c:pt idx="21">
                  <c:v>241.25</c:v>
                </c:pt>
              </c:numCache>
            </c:numRef>
          </c:xVal>
          <c:yVal>
            <c:numRef>
              <c:f>'Run 1 (Alex)'!$G$274:$G$295</c:f>
              <c:numCache>
                <c:formatCode>General</c:formatCode>
                <c:ptCount val="22"/>
                <c:pt idx="0">
                  <c:v>8.0000000000000002E-3</c:v>
                </c:pt>
                <c:pt idx="1">
                  <c:v>1.9099999999999999E-2</c:v>
                </c:pt>
                <c:pt idx="2">
                  <c:v>0</c:v>
                </c:pt>
                <c:pt idx="3">
                  <c:v>0</c:v>
                </c:pt>
                <c:pt idx="4">
                  <c:v>8.2000000000000007E-3</c:v>
                </c:pt>
                <c:pt idx="5">
                  <c:v>1.66E-2</c:v>
                </c:pt>
                <c:pt idx="6">
                  <c:v>8.8999999999999999E-3</c:v>
                </c:pt>
                <c:pt idx="7">
                  <c:v>1.5100000000000001E-2</c:v>
                </c:pt>
                <c:pt idx="8">
                  <c:v>1.7500000000000002E-2</c:v>
                </c:pt>
                <c:pt idx="9">
                  <c:v>1.11E-2</c:v>
                </c:pt>
                <c:pt idx="10">
                  <c:v>2.1299999999999999E-2</c:v>
                </c:pt>
                <c:pt idx="11">
                  <c:v>7.0000000000000001E-3</c:v>
                </c:pt>
                <c:pt idx="12">
                  <c:v>1.5299999999999999E-2</c:v>
                </c:pt>
                <c:pt idx="13">
                  <c:v>1.9900000000000001E-2</c:v>
                </c:pt>
                <c:pt idx="14">
                  <c:v>1.29E-2</c:v>
                </c:pt>
                <c:pt idx="15">
                  <c:v>1.6899999999999998E-2</c:v>
                </c:pt>
                <c:pt idx="16">
                  <c:v>1.54E-2</c:v>
                </c:pt>
                <c:pt idx="17">
                  <c:v>8.0000000000000002E-3</c:v>
                </c:pt>
                <c:pt idx="18">
                  <c:v>4.0000000000000001E-3</c:v>
                </c:pt>
                <c:pt idx="19">
                  <c:v>1E-3</c:v>
                </c:pt>
                <c:pt idx="20">
                  <c:v>8.0999999999999996E-3</c:v>
                </c:pt>
                <c:pt idx="21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83A-45B6-B103-9C39D32D09D1}"/>
            </c:ext>
          </c:extLst>
        </c:ser>
        <c:ser>
          <c:idx val="14"/>
          <c:order val="14"/>
          <c:tx>
            <c:strRef>
              <c:f>'Run 1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(Alex)'!$E$296:$E$316</c:f>
              <c:numCache>
                <c:formatCode>General</c:formatCode>
                <c:ptCount val="21"/>
                <c:pt idx="0">
                  <c:v>13.41</c:v>
                </c:pt>
                <c:pt idx="1">
                  <c:v>13.48</c:v>
                </c:pt>
                <c:pt idx="2">
                  <c:v>14.57</c:v>
                </c:pt>
                <c:pt idx="3">
                  <c:v>15.34</c:v>
                </c:pt>
                <c:pt idx="4">
                  <c:v>16.62</c:v>
                </c:pt>
                <c:pt idx="5">
                  <c:v>17.649999999999999</c:v>
                </c:pt>
                <c:pt idx="6">
                  <c:v>18.760000000000002</c:v>
                </c:pt>
                <c:pt idx="7">
                  <c:v>20.059999999999999</c:v>
                </c:pt>
                <c:pt idx="8">
                  <c:v>20.83</c:v>
                </c:pt>
                <c:pt idx="9">
                  <c:v>22.14</c:v>
                </c:pt>
                <c:pt idx="10">
                  <c:v>23.22</c:v>
                </c:pt>
                <c:pt idx="11">
                  <c:v>24.39</c:v>
                </c:pt>
                <c:pt idx="12">
                  <c:v>26.06</c:v>
                </c:pt>
                <c:pt idx="13">
                  <c:v>27.89</c:v>
                </c:pt>
                <c:pt idx="14">
                  <c:v>30.49</c:v>
                </c:pt>
                <c:pt idx="15">
                  <c:v>33.909999999999997</c:v>
                </c:pt>
                <c:pt idx="16">
                  <c:v>39.78</c:v>
                </c:pt>
                <c:pt idx="17">
                  <c:v>48.68</c:v>
                </c:pt>
                <c:pt idx="18">
                  <c:v>66.53</c:v>
                </c:pt>
                <c:pt idx="19">
                  <c:v>117.19</c:v>
                </c:pt>
                <c:pt idx="20">
                  <c:v>353.61</c:v>
                </c:pt>
              </c:numCache>
            </c:numRef>
          </c:xVal>
          <c:yVal>
            <c:numRef>
              <c:f>'Run 1 (Alex)'!$G$296:$G$316</c:f>
              <c:numCache>
                <c:formatCode>General</c:formatCode>
                <c:ptCount val="21"/>
                <c:pt idx="0">
                  <c:v>7.1999999999999998E-3</c:v>
                </c:pt>
                <c:pt idx="1">
                  <c:v>7.9000000000000008E-3</c:v>
                </c:pt>
                <c:pt idx="2">
                  <c:v>1.8200000000000001E-2</c:v>
                </c:pt>
                <c:pt idx="3">
                  <c:v>9.4000000000000004E-3</c:v>
                </c:pt>
                <c:pt idx="4">
                  <c:v>1.9699999999999999E-2</c:v>
                </c:pt>
                <c:pt idx="5">
                  <c:v>1.0699999999999999E-2</c:v>
                </c:pt>
                <c:pt idx="6">
                  <c:v>7.1000000000000004E-3</c:v>
                </c:pt>
                <c:pt idx="7">
                  <c:v>1.3299999999999999E-2</c:v>
                </c:pt>
                <c:pt idx="8">
                  <c:v>1.5100000000000001E-2</c:v>
                </c:pt>
                <c:pt idx="9">
                  <c:v>1.77E-2</c:v>
                </c:pt>
                <c:pt idx="10">
                  <c:v>3.0999999999999999E-3</c:v>
                </c:pt>
                <c:pt idx="11">
                  <c:v>1.0699999999999999E-2</c:v>
                </c:pt>
                <c:pt idx="12">
                  <c:v>1.7100000000000001E-2</c:v>
                </c:pt>
                <c:pt idx="13">
                  <c:v>2.1600000000000001E-2</c:v>
                </c:pt>
                <c:pt idx="14">
                  <c:v>1.6799999999999999E-2</c:v>
                </c:pt>
                <c:pt idx="15">
                  <c:v>4.1000000000000003E-3</c:v>
                </c:pt>
                <c:pt idx="16">
                  <c:v>1.7299999999999999E-2</c:v>
                </c:pt>
                <c:pt idx="17">
                  <c:v>6.4000000000000003E-3</c:v>
                </c:pt>
                <c:pt idx="18">
                  <c:v>1.6299999999999999E-2</c:v>
                </c:pt>
                <c:pt idx="19">
                  <c:v>1.5599999999999999E-2</c:v>
                </c:pt>
                <c:pt idx="2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83A-45B6-B103-9C39D32D0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00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5374747083852661"/>
              <c:y val="0.397485983798461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402102490968592"/>
          <c:h val="0.7811193687182189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143112900395609"/>
          <c:y val="0.12039579559597302"/>
          <c:w val="0.7526801306850941"/>
          <c:h val="0.76291854446919849"/>
        </c:manualLayout>
      </c:layout>
      <c:scatterChart>
        <c:scatterStyle val="lineMarker"/>
        <c:varyColors val="0"/>
        <c:ser>
          <c:idx val="2"/>
          <c:order val="1"/>
          <c:tx>
            <c:strRef>
              <c:f>'Run 1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(Alex)'!$I$23:$I$43</c:f>
              <c:numCache>
                <c:formatCode>General</c:formatCode>
                <c:ptCount val="21"/>
                <c:pt idx="0">
                  <c:v>0.22263056092843325</c:v>
                </c:pt>
                <c:pt idx="1">
                  <c:v>0.22533849129593811</c:v>
                </c:pt>
                <c:pt idx="2">
                  <c:v>0.24487427466150868</c:v>
                </c:pt>
                <c:pt idx="3">
                  <c:v>0.26305609284332687</c:v>
                </c:pt>
                <c:pt idx="4">
                  <c:v>0.27891682785299804</c:v>
                </c:pt>
                <c:pt idx="5">
                  <c:v>0.29535783365570595</c:v>
                </c:pt>
                <c:pt idx="6">
                  <c:v>0.30735009671179886</c:v>
                </c:pt>
                <c:pt idx="7">
                  <c:v>0.32185686653771761</c:v>
                </c:pt>
                <c:pt idx="8">
                  <c:v>0.33307543520309474</c:v>
                </c:pt>
                <c:pt idx="9">
                  <c:v>0.34642166344294001</c:v>
                </c:pt>
                <c:pt idx="10">
                  <c:v>0.35860735009671174</c:v>
                </c:pt>
                <c:pt idx="11">
                  <c:v>0.37098646034816246</c:v>
                </c:pt>
                <c:pt idx="12">
                  <c:v>0.3866537717601547</c:v>
                </c:pt>
                <c:pt idx="13">
                  <c:v>0.40657640232108316</c:v>
                </c:pt>
                <c:pt idx="14">
                  <c:v>0.43075435203094775</c:v>
                </c:pt>
                <c:pt idx="15">
                  <c:v>0.46073500967117986</c:v>
                </c:pt>
                <c:pt idx="16">
                  <c:v>0.51102514506769825</c:v>
                </c:pt>
                <c:pt idx="17">
                  <c:v>0.58143133462282393</c:v>
                </c:pt>
                <c:pt idx="18">
                  <c:v>0.70735009671179883</c:v>
                </c:pt>
                <c:pt idx="19">
                  <c:v>0.98259187620889743</c:v>
                </c:pt>
                <c:pt idx="20">
                  <c:v>1.9406189555125724</c:v>
                </c:pt>
              </c:numCache>
            </c:numRef>
          </c:xVal>
          <c:yVal>
            <c:numRef>
              <c:f>'Run 1 (Alex)'!$G$23:$G$43</c:f>
              <c:numCache>
                <c:formatCode>General</c:formatCode>
                <c:ptCount val="21"/>
                <c:pt idx="0">
                  <c:v>1.37E-2</c:v>
                </c:pt>
                <c:pt idx="1">
                  <c:v>1.8499999999999999E-2</c:v>
                </c:pt>
                <c:pt idx="2">
                  <c:v>1.8200000000000001E-2</c:v>
                </c:pt>
                <c:pt idx="3">
                  <c:v>1.2999999999999999E-2</c:v>
                </c:pt>
                <c:pt idx="4">
                  <c:v>1.3599999999999999E-2</c:v>
                </c:pt>
                <c:pt idx="5">
                  <c:v>1.5599999999999999E-2</c:v>
                </c:pt>
                <c:pt idx="6">
                  <c:v>1.2E-2</c:v>
                </c:pt>
                <c:pt idx="7">
                  <c:v>6.0000000000000001E-3</c:v>
                </c:pt>
                <c:pt idx="8">
                  <c:v>8.0000000000000002E-3</c:v>
                </c:pt>
                <c:pt idx="9">
                  <c:v>0</c:v>
                </c:pt>
                <c:pt idx="10">
                  <c:v>0</c:v>
                </c:pt>
                <c:pt idx="11">
                  <c:v>7.7999999999999996E-3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1.1299999999999999E-2</c:v>
                </c:pt>
                <c:pt idx="15">
                  <c:v>0</c:v>
                </c:pt>
                <c:pt idx="16">
                  <c:v>0</c:v>
                </c:pt>
                <c:pt idx="17">
                  <c:v>1.9599999999999999E-2</c:v>
                </c:pt>
                <c:pt idx="18">
                  <c:v>2.12E-2</c:v>
                </c:pt>
                <c:pt idx="19">
                  <c:v>1.84E-2</c:v>
                </c:pt>
                <c:pt idx="20">
                  <c:v>1.0500000000000001E-2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03-443B-9DB5-002215D6EA6A}"/>
            </c:ext>
          </c:extLst>
        </c:ser>
        <c:ser>
          <c:idx val="3"/>
          <c:order val="2"/>
          <c:tx>
            <c:strRef>
              <c:f>'Run 1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(Alex)'!$I$44:$I$64</c:f>
              <c:numCache>
                <c:formatCode>General</c:formatCode>
                <c:ptCount val="21"/>
                <c:pt idx="0">
                  <c:v>1.1550352317132497E-2</c:v>
                </c:pt>
                <c:pt idx="1">
                  <c:v>1.1602663695380381E-2</c:v>
                </c:pt>
                <c:pt idx="2">
                  <c:v>1.2471032574295235E-2</c:v>
                </c:pt>
                <c:pt idx="3">
                  <c:v>1.3396943969282758E-2</c:v>
                </c:pt>
                <c:pt idx="4">
                  <c:v>1.4558256566385753E-2</c:v>
                </c:pt>
                <c:pt idx="5">
                  <c:v>1.5682951198715232E-2</c:v>
                </c:pt>
                <c:pt idx="6">
                  <c:v>1.6849494933643017E-2</c:v>
                </c:pt>
                <c:pt idx="7">
                  <c:v>1.8063118908993894E-2</c:v>
                </c:pt>
                <c:pt idx="8">
                  <c:v>1.8973336890507054E-2</c:v>
                </c:pt>
                <c:pt idx="9">
                  <c:v>2.0207885417157085E-2</c:v>
                </c:pt>
                <c:pt idx="10">
                  <c:v>2.1269806395589102E-2</c:v>
                </c:pt>
                <c:pt idx="11">
                  <c:v>2.2420656717042523E-2</c:v>
                </c:pt>
                <c:pt idx="12">
                  <c:v>2.3916762134931966E-2</c:v>
                </c:pt>
                <c:pt idx="13">
                  <c:v>2.5799971751855746E-2</c:v>
                </c:pt>
                <c:pt idx="14">
                  <c:v>2.8211526289083137E-2</c:v>
                </c:pt>
                <c:pt idx="15">
                  <c:v>3.1109576644015837E-2</c:v>
                </c:pt>
                <c:pt idx="16">
                  <c:v>3.6026846199316814E-2</c:v>
                </c:pt>
                <c:pt idx="17">
                  <c:v>4.3109806814080123E-2</c:v>
                </c:pt>
                <c:pt idx="18">
                  <c:v>5.6292274132546567E-2</c:v>
                </c:pt>
                <c:pt idx="19">
                  <c:v>8.7752337010823217E-2</c:v>
                </c:pt>
                <c:pt idx="20">
                  <c:v>0.22371484021489516</c:v>
                </c:pt>
              </c:numCache>
            </c:numRef>
          </c:xVal>
          <c:yVal>
            <c:numRef>
              <c:f>'Run 1 (Alex)'!$G$44:$G$64</c:f>
              <c:numCache>
                <c:formatCode>General</c:formatCode>
                <c:ptCount val="21"/>
                <c:pt idx="0">
                  <c:v>7.6E-3</c:v>
                </c:pt>
                <c:pt idx="1">
                  <c:v>1.21E-2</c:v>
                </c:pt>
                <c:pt idx="2">
                  <c:v>1.18E-2</c:v>
                </c:pt>
                <c:pt idx="3">
                  <c:v>1.9599999999999999E-2</c:v>
                </c:pt>
                <c:pt idx="4">
                  <c:v>6.7999999999999996E-3</c:v>
                </c:pt>
                <c:pt idx="5">
                  <c:v>1.9E-2</c:v>
                </c:pt>
                <c:pt idx="6">
                  <c:v>1.4200000000000001E-2</c:v>
                </c:pt>
                <c:pt idx="7">
                  <c:v>6.4000000000000003E-3</c:v>
                </c:pt>
                <c:pt idx="8">
                  <c:v>1.15E-2</c:v>
                </c:pt>
                <c:pt idx="9">
                  <c:v>7.7999999999999996E-3</c:v>
                </c:pt>
                <c:pt idx="10">
                  <c:v>1.5800000000000002E-2</c:v>
                </c:pt>
                <c:pt idx="11">
                  <c:v>0.02</c:v>
                </c:pt>
                <c:pt idx="12">
                  <c:v>2.23E-2</c:v>
                </c:pt>
                <c:pt idx="13">
                  <c:v>1E-3</c:v>
                </c:pt>
                <c:pt idx="14">
                  <c:v>1.4200000000000001E-2</c:v>
                </c:pt>
                <c:pt idx="15">
                  <c:v>7.4000000000000003E-3</c:v>
                </c:pt>
                <c:pt idx="16">
                  <c:v>1.2500000000000001E-2</c:v>
                </c:pt>
                <c:pt idx="17">
                  <c:v>3.0999999999999999E-3</c:v>
                </c:pt>
                <c:pt idx="18">
                  <c:v>8.0000000000000002E-3</c:v>
                </c:pt>
                <c:pt idx="19">
                  <c:v>1.5800000000000002E-2</c:v>
                </c:pt>
                <c:pt idx="2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03-443B-9DB5-002215D6EA6A}"/>
            </c:ext>
          </c:extLst>
        </c:ser>
        <c:ser>
          <c:idx val="4"/>
          <c:order val="3"/>
          <c:tx>
            <c:strRef>
              <c:f>'Run 1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(Alex)'!$I$65:$I$85</c:f>
              <c:numCache>
                <c:formatCode>General</c:formatCode>
                <c:ptCount val="21"/>
                <c:pt idx="0">
                  <c:v>5.3304701841853912E-3</c:v>
                </c:pt>
                <c:pt idx="1">
                  <c:v>5.3128577525182394E-3</c:v>
                </c:pt>
                <c:pt idx="2">
                  <c:v>5.614978695731695E-3</c:v>
                </c:pt>
                <c:pt idx="3">
                  <c:v>5.8100702465063029E-3</c:v>
                </c:pt>
                <c:pt idx="4">
                  <c:v>6.3384431965208673E-3</c:v>
                </c:pt>
                <c:pt idx="5">
                  <c:v>6.7936568149949538E-3</c:v>
                </c:pt>
                <c:pt idx="6">
                  <c:v>7.2536122419948118E-3</c:v>
                </c:pt>
                <c:pt idx="7">
                  <c:v>7.8246614687413219E-3</c:v>
                </c:pt>
                <c:pt idx="8">
                  <c:v>8.2344892056115931E-3</c:v>
                </c:pt>
                <c:pt idx="9">
                  <c:v>8.8041836299221667E-3</c:v>
                </c:pt>
                <c:pt idx="10">
                  <c:v>9.2492362301267415E-3</c:v>
                </c:pt>
                <c:pt idx="11">
                  <c:v>9.7444165204609041E-3</c:v>
                </c:pt>
                <c:pt idx="12">
                  <c:v>1.0412334121376751E-2</c:v>
                </c:pt>
                <c:pt idx="13">
                  <c:v>1.1223183379283717E-2</c:v>
                </c:pt>
                <c:pt idx="14">
                  <c:v>1.2224382379439519E-2</c:v>
                </c:pt>
                <c:pt idx="15">
                  <c:v>1.3522960514283006E-2</c:v>
                </c:pt>
                <c:pt idx="16">
                  <c:v>1.5603937055878828E-2</c:v>
                </c:pt>
                <c:pt idx="17">
                  <c:v>1.8578405803973637E-2</c:v>
                </c:pt>
                <c:pt idx="18">
                  <c:v>2.3902779377197321E-2</c:v>
                </c:pt>
                <c:pt idx="19">
                  <c:v>3.6709049402870828E-2</c:v>
                </c:pt>
                <c:pt idx="20">
                  <c:v>8.8154962302622222E-2</c:v>
                </c:pt>
              </c:numCache>
            </c:numRef>
          </c:xVal>
          <c:yVal>
            <c:numRef>
              <c:f>'Run 1 (Alex)'!$G$65:$G$85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4.4900000000000002E-2</c:v>
                </c:pt>
                <c:pt idx="2">
                  <c:v>3.5700000000000003E-2</c:v>
                </c:pt>
                <c:pt idx="3">
                  <c:v>3.6900000000000002E-2</c:v>
                </c:pt>
                <c:pt idx="4">
                  <c:v>4.6699999999999998E-2</c:v>
                </c:pt>
                <c:pt idx="5">
                  <c:v>4.4299999999999999E-2</c:v>
                </c:pt>
                <c:pt idx="6">
                  <c:v>4.1200000000000001E-2</c:v>
                </c:pt>
                <c:pt idx="7">
                  <c:v>3.2199999999999999E-2</c:v>
                </c:pt>
                <c:pt idx="8">
                  <c:v>3.7699999999999997E-2</c:v>
                </c:pt>
                <c:pt idx="9">
                  <c:v>4.7500000000000001E-2</c:v>
                </c:pt>
                <c:pt idx="10">
                  <c:v>5.0599999999999999E-2</c:v>
                </c:pt>
                <c:pt idx="11">
                  <c:v>4.41E-2</c:v>
                </c:pt>
                <c:pt idx="12">
                  <c:v>4.7399999999999998E-2</c:v>
                </c:pt>
                <c:pt idx="13">
                  <c:v>4.41E-2</c:v>
                </c:pt>
                <c:pt idx="14">
                  <c:v>5.1200000000000002E-2</c:v>
                </c:pt>
                <c:pt idx="15">
                  <c:v>4.4200000000000003E-2</c:v>
                </c:pt>
                <c:pt idx="16">
                  <c:v>4.41E-2</c:v>
                </c:pt>
                <c:pt idx="17">
                  <c:v>4.4299999999999999E-2</c:v>
                </c:pt>
                <c:pt idx="18">
                  <c:v>4.53E-2</c:v>
                </c:pt>
                <c:pt idx="19">
                  <c:v>4.6300000000000001E-2</c:v>
                </c:pt>
                <c:pt idx="20">
                  <c:v>5.1499999999999997E-2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03-443B-9DB5-002215D6EA6A}"/>
            </c:ext>
          </c:extLst>
        </c:ser>
        <c:ser>
          <c:idx val="5"/>
          <c:order val="4"/>
          <c:tx>
            <c:strRef>
              <c:f>'Run 1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(Alex)'!$I$86:$I$105</c:f>
              <c:numCache>
                <c:formatCode>General</c:formatCode>
                <c:ptCount val="20"/>
                <c:pt idx="0">
                  <c:v>5.276278086748E-3</c:v>
                </c:pt>
                <c:pt idx="1">
                  <c:v>5.2823746977097071E-3</c:v>
                </c:pt>
                <c:pt idx="2">
                  <c:v>5.3616306402118914E-3</c:v>
                </c:pt>
                <c:pt idx="3">
                  <c:v>5.3670498499556307E-3</c:v>
                </c:pt>
                <c:pt idx="4">
                  <c:v>5.5750120238716189E-3</c:v>
                </c:pt>
                <c:pt idx="5">
                  <c:v>5.526239136177967E-3</c:v>
                </c:pt>
                <c:pt idx="6">
                  <c:v>5.6244623127832388E-3</c:v>
                </c:pt>
                <c:pt idx="7">
                  <c:v>5.7951674197110207E-3</c:v>
                </c:pt>
                <c:pt idx="8">
                  <c:v>5.7328465076580204E-3</c:v>
                </c:pt>
                <c:pt idx="9">
                  <c:v>5.8879713865725531E-3</c:v>
                </c:pt>
                <c:pt idx="10">
                  <c:v>5.9353894718302712E-3</c:v>
                </c:pt>
                <c:pt idx="11">
                  <c:v>5.9956781802293687E-3</c:v>
                </c:pt>
                <c:pt idx="12">
                  <c:v>6.1914471322219444E-3</c:v>
                </c:pt>
                <c:pt idx="13">
                  <c:v>6.2767996856858349E-3</c:v>
                </c:pt>
                <c:pt idx="14">
                  <c:v>6.4407307804339436E-3</c:v>
                </c:pt>
                <c:pt idx="15">
                  <c:v>6.8024630308285297E-3</c:v>
                </c:pt>
                <c:pt idx="16">
                  <c:v>7.2854500992392789E-3</c:v>
                </c:pt>
                <c:pt idx="17">
                  <c:v>7.9316908611801688E-3</c:v>
                </c:pt>
                <c:pt idx="18">
                  <c:v>9.1191751962770035E-3</c:v>
                </c:pt>
                <c:pt idx="19">
                  <c:v>1.2938363263177148E-2</c:v>
                </c:pt>
              </c:numCache>
            </c:numRef>
          </c:xVal>
          <c:yVal>
            <c:numRef>
              <c:f>'Run 1 (Alex)'!$G$86:$G$106</c:f>
              <c:numCache>
                <c:formatCode>General</c:formatCode>
                <c:ptCount val="21"/>
                <c:pt idx="0">
                  <c:v>4.3400000000000001E-2</c:v>
                </c:pt>
                <c:pt idx="1">
                  <c:v>4.3999999999999997E-2</c:v>
                </c:pt>
                <c:pt idx="2">
                  <c:v>5.4800000000000001E-2</c:v>
                </c:pt>
                <c:pt idx="3">
                  <c:v>4.0099999999999997E-2</c:v>
                </c:pt>
                <c:pt idx="4">
                  <c:v>5.7700000000000001E-2</c:v>
                </c:pt>
                <c:pt idx="5">
                  <c:v>4.36E-2</c:v>
                </c:pt>
                <c:pt idx="6">
                  <c:v>4.2999999999999997E-2</c:v>
                </c:pt>
                <c:pt idx="7">
                  <c:v>4.2000000000000003E-2</c:v>
                </c:pt>
                <c:pt idx="8">
                  <c:v>4.6199999999999998E-2</c:v>
                </c:pt>
                <c:pt idx="9">
                  <c:v>4.2999999999999997E-2</c:v>
                </c:pt>
                <c:pt idx="10">
                  <c:v>4.41E-2</c:v>
                </c:pt>
                <c:pt idx="11">
                  <c:v>4.3999999999999997E-2</c:v>
                </c:pt>
                <c:pt idx="12">
                  <c:v>4.0099999999999997E-2</c:v>
                </c:pt>
                <c:pt idx="13">
                  <c:v>4.4200000000000003E-2</c:v>
                </c:pt>
                <c:pt idx="14">
                  <c:v>4.3299999999999998E-2</c:v>
                </c:pt>
                <c:pt idx="15">
                  <c:v>4.1799999999999997E-2</c:v>
                </c:pt>
                <c:pt idx="16">
                  <c:v>4.0099999999999997E-2</c:v>
                </c:pt>
                <c:pt idx="17">
                  <c:v>4.4200000000000003E-2</c:v>
                </c:pt>
                <c:pt idx="18">
                  <c:v>4.1000000000000002E-2</c:v>
                </c:pt>
                <c:pt idx="19">
                  <c:v>4.24E-2</c:v>
                </c:pt>
                <c:pt idx="20">
                  <c:v>4.7E-2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03-443B-9DB5-002215D6EA6A}"/>
            </c:ext>
          </c:extLst>
        </c:ser>
        <c:ser>
          <c:idx val="0"/>
          <c:order val="5"/>
          <c:tx>
            <c:strRef>
              <c:f>'Run 1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(Alex)'!$I$107:$I$127</c:f>
              <c:numCache>
                <c:formatCode>General</c:formatCode>
                <c:ptCount val="21"/>
                <c:pt idx="0">
                  <c:v>1.63246854358691E-2</c:v>
                </c:pt>
                <c:pt idx="1">
                  <c:v>1.6374915237210234E-2</c:v>
                </c:pt>
                <c:pt idx="2">
                  <c:v>1.692744305196273E-2</c:v>
                </c:pt>
                <c:pt idx="3">
                  <c:v>1.7329281462691814E-2</c:v>
                </c:pt>
                <c:pt idx="4">
                  <c:v>1.8132958284149986E-2</c:v>
                </c:pt>
                <c:pt idx="5">
                  <c:v>1.8434337092196801E-2</c:v>
                </c:pt>
                <c:pt idx="6">
                  <c:v>1.9037094708290427E-2</c:v>
                </c:pt>
                <c:pt idx="7">
                  <c:v>1.9891001331089734E-2</c:v>
                </c:pt>
                <c:pt idx="8">
                  <c:v>2.041841424517166E-2</c:v>
                </c:pt>
                <c:pt idx="9">
                  <c:v>2.1372780470653236E-2</c:v>
                </c:pt>
                <c:pt idx="10">
                  <c:v>2.2075997689429135E-2</c:v>
                </c:pt>
                <c:pt idx="11">
                  <c:v>2.2904789411557873E-2</c:v>
                </c:pt>
                <c:pt idx="12">
                  <c:v>2.4286108948439109E-2</c:v>
                </c:pt>
                <c:pt idx="13">
                  <c:v>2.5692543385990908E-2</c:v>
                </c:pt>
                <c:pt idx="14">
                  <c:v>2.750081623427179E-2</c:v>
                </c:pt>
                <c:pt idx="15">
                  <c:v>3.0313685109375391E-2</c:v>
                </c:pt>
                <c:pt idx="16">
                  <c:v>3.5060401336112719E-2</c:v>
                </c:pt>
                <c:pt idx="17">
                  <c:v>4.2218148027224546E-2</c:v>
                </c:pt>
                <c:pt idx="18">
                  <c:v>5.5654619885978349E-2</c:v>
                </c:pt>
                <c:pt idx="19">
                  <c:v>8.8655599367104487E-2</c:v>
                </c:pt>
                <c:pt idx="20">
                  <c:v>0.21985584047015094</c:v>
                </c:pt>
              </c:numCache>
            </c:numRef>
          </c:xVal>
          <c:yVal>
            <c:numRef>
              <c:f>'Run 1 (Alex)'!$G$107:$G$127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1.5699999999999999E-2</c:v>
                </c:pt>
                <c:pt idx="11">
                  <c:v>4.0000000000000001E-3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03-443B-9DB5-002215D6EA6A}"/>
            </c:ext>
          </c:extLst>
        </c:ser>
        <c:ser>
          <c:idx val="6"/>
          <c:order val="6"/>
          <c:tx>
            <c:strRef>
              <c:f>'Run 1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(Alex)'!$I$128:$I$148</c:f>
              <c:numCache>
                <c:formatCode>General</c:formatCode>
                <c:ptCount val="21"/>
                <c:pt idx="0">
                  <c:v>0.11710581346716854</c:v>
                </c:pt>
                <c:pt idx="1">
                  <c:v>0.11877875365955666</c:v>
                </c:pt>
                <c:pt idx="2">
                  <c:v>0.13101212881639482</c:v>
                </c:pt>
                <c:pt idx="3">
                  <c:v>0.14188624006691761</c:v>
                </c:pt>
                <c:pt idx="4">
                  <c:v>0.15432873274780426</c:v>
                </c:pt>
                <c:pt idx="5">
                  <c:v>0.16520284399832708</c:v>
                </c:pt>
                <c:pt idx="6">
                  <c:v>0.17680886658301967</c:v>
                </c:pt>
                <c:pt idx="7">
                  <c:v>0.18716018402342113</c:v>
                </c:pt>
                <c:pt idx="8">
                  <c:v>0.19583856127143454</c:v>
                </c:pt>
                <c:pt idx="9">
                  <c:v>0.21005855290673359</c:v>
                </c:pt>
                <c:pt idx="10">
                  <c:v>0.21999163529903806</c:v>
                </c:pt>
                <c:pt idx="11">
                  <c:v>0.23128398159765789</c:v>
                </c:pt>
                <c:pt idx="12">
                  <c:v>0.24884985361773318</c:v>
                </c:pt>
                <c:pt idx="13">
                  <c:v>0.26923881221246343</c:v>
                </c:pt>
                <c:pt idx="14">
                  <c:v>0.28795483061480553</c:v>
                </c:pt>
                <c:pt idx="15">
                  <c:v>0.31346716854872436</c:v>
                </c:pt>
                <c:pt idx="16">
                  <c:v>0.35738184859891259</c:v>
                </c:pt>
                <c:pt idx="17">
                  <c:v>0.40600167294019235</c:v>
                </c:pt>
                <c:pt idx="18">
                  <c:v>0.48588456712672523</c:v>
                </c:pt>
                <c:pt idx="19">
                  <c:v>0.68914680050188204</c:v>
                </c:pt>
                <c:pt idx="20">
                  <c:v>1.693642827268925</c:v>
                </c:pt>
              </c:numCache>
            </c:numRef>
          </c:xVal>
          <c:yVal>
            <c:numRef>
              <c:f>'Run 1 (Alex)'!$G$128:$G$148</c:f>
              <c:numCache>
                <c:formatCode>General</c:formatCode>
                <c:ptCount val="21"/>
                <c:pt idx="0">
                  <c:v>6.0000000000000001E-3</c:v>
                </c:pt>
                <c:pt idx="1">
                  <c:v>6.0000000000000001E-3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5.3E-3</c:v>
                </c:pt>
                <c:pt idx="5">
                  <c:v>6.0000000000000001E-3</c:v>
                </c:pt>
                <c:pt idx="6">
                  <c:v>5.4999999999999997E-3</c:v>
                </c:pt>
                <c:pt idx="7">
                  <c:v>6.8999999999999999E-3</c:v>
                </c:pt>
                <c:pt idx="8">
                  <c:v>6.0000000000000001E-3</c:v>
                </c:pt>
                <c:pt idx="9">
                  <c:v>6.1000000000000004E-3</c:v>
                </c:pt>
                <c:pt idx="10">
                  <c:v>6.0000000000000001E-3</c:v>
                </c:pt>
                <c:pt idx="11">
                  <c:v>7.0000000000000001E-3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6.8999999999999999E-3</c:v>
                </c:pt>
                <c:pt idx="19">
                  <c:v>5.7999999999999996E-3</c:v>
                </c:pt>
                <c:pt idx="20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03-443B-9DB5-002215D6EA6A}"/>
            </c:ext>
          </c:extLst>
        </c:ser>
        <c:ser>
          <c:idx val="7"/>
          <c:order val="7"/>
          <c:tx>
            <c:strRef>
              <c:f>'Run 1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(Alex)'!$I$149:$I$169</c:f>
              <c:numCache>
                <c:formatCode>General</c:formatCode>
                <c:ptCount val="21"/>
                <c:pt idx="0">
                  <c:v>1.3000868511628405E-2</c:v>
                </c:pt>
                <c:pt idx="1">
                  <c:v>1.3226038193066919E-2</c:v>
                </c:pt>
                <c:pt idx="2">
                  <c:v>1.4925533169638549E-2</c:v>
                </c:pt>
                <c:pt idx="3">
                  <c:v>1.6866281376322872E-2</c:v>
                </c:pt>
                <c:pt idx="4">
                  <c:v>1.8941059155292022E-2</c:v>
                </c:pt>
                <c:pt idx="5">
                  <c:v>2.0989031019804209E-2</c:v>
                </c:pt>
                <c:pt idx="6">
                  <c:v>2.2929779226488534E-2</c:v>
                </c:pt>
                <c:pt idx="7">
                  <c:v>2.4913416896304E-2</c:v>
                </c:pt>
                <c:pt idx="8">
                  <c:v>2.6591467141310058E-2</c:v>
                </c:pt>
                <c:pt idx="9">
                  <c:v>2.8591188359799704E-2</c:v>
                </c:pt>
                <c:pt idx="10">
                  <c:v>3.0333572799502481E-2</c:v>
                </c:pt>
                <c:pt idx="11">
                  <c:v>3.2113485519445012E-2</c:v>
                </c:pt>
                <c:pt idx="12">
                  <c:v>3.4488489540332179E-2</c:v>
                </c:pt>
                <c:pt idx="13">
                  <c:v>3.7587253251557422E-2</c:v>
                </c:pt>
                <c:pt idx="14">
                  <c:v>4.137224837288099E-2</c:v>
                </c:pt>
                <c:pt idx="15">
                  <c:v>4.5929253830565175E-2</c:v>
                </c:pt>
                <c:pt idx="16">
                  <c:v>5.3274074391773805E-2</c:v>
                </c:pt>
                <c:pt idx="17">
                  <c:v>6.363724092083678E-2</c:v>
                </c:pt>
                <c:pt idx="18">
                  <c:v>8.3060806536354184E-2</c:v>
                </c:pt>
                <c:pt idx="19">
                  <c:v>0.12907583929318164</c:v>
                </c:pt>
                <c:pt idx="20">
                  <c:v>0.31586481241221059</c:v>
                </c:pt>
              </c:numCache>
            </c:numRef>
          </c:xVal>
          <c:yVal>
            <c:numRef>
              <c:f>'Run 1 (Alex)'!$G$149:$G$169</c:f>
              <c:numCache>
                <c:formatCode>General</c:formatCode>
                <c:ptCount val="21"/>
                <c:pt idx="0">
                  <c:v>2.0199999999999999E-2</c:v>
                </c:pt>
                <c:pt idx="1">
                  <c:v>2.0500000000000001E-2</c:v>
                </c:pt>
                <c:pt idx="2">
                  <c:v>1.24E-2</c:v>
                </c:pt>
                <c:pt idx="3">
                  <c:v>2.1000000000000001E-2</c:v>
                </c:pt>
                <c:pt idx="4">
                  <c:v>1.7000000000000001E-2</c:v>
                </c:pt>
                <c:pt idx="5">
                  <c:v>1.2200000000000001E-2</c:v>
                </c:pt>
                <c:pt idx="6">
                  <c:v>1.9800000000000002E-2</c:v>
                </c:pt>
                <c:pt idx="7">
                  <c:v>1.8599999999999998E-2</c:v>
                </c:pt>
                <c:pt idx="8">
                  <c:v>1.5800000000000002E-2</c:v>
                </c:pt>
                <c:pt idx="9">
                  <c:v>1.3899999999999999E-2</c:v>
                </c:pt>
                <c:pt idx="10">
                  <c:v>1.4E-2</c:v>
                </c:pt>
                <c:pt idx="11">
                  <c:v>2.53E-2</c:v>
                </c:pt>
                <c:pt idx="12">
                  <c:v>1.4E-2</c:v>
                </c:pt>
                <c:pt idx="13">
                  <c:v>2.53E-2</c:v>
                </c:pt>
                <c:pt idx="14">
                  <c:v>1.4E-2</c:v>
                </c:pt>
                <c:pt idx="15">
                  <c:v>1.6E-2</c:v>
                </c:pt>
                <c:pt idx="16">
                  <c:v>1.35E-2</c:v>
                </c:pt>
                <c:pt idx="17">
                  <c:v>1.46E-2</c:v>
                </c:pt>
                <c:pt idx="18">
                  <c:v>1.5100000000000001E-2</c:v>
                </c:pt>
                <c:pt idx="19">
                  <c:v>1.6E-2</c:v>
                </c:pt>
                <c:pt idx="2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03-443B-9DB5-002215D6EA6A}"/>
            </c:ext>
          </c:extLst>
        </c:ser>
        <c:ser>
          <c:idx val="8"/>
          <c:order val="8"/>
          <c:tx>
            <c:strRef>
              <c:f>'Run 1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(Alex)'!$I$170:$I$190</c:f>
              <c:numCache>
                <c:formatCode>General</c:formatCode>
                <c:ptCount val="21"/>
                <c:pt idx="0">
                  <c:v>1.1401367415845935E-2</c:v>
                </c:pt>
                <c:pt idx="1">
                  <c:v>1.1485544861902222E-2</c:v>
                </c:pt>
                <c:pt idx="2">
                  <c:v>1.2462938541111327E-2</c:v>
                </c:pt>
                <c:pt idx="3">
                  <c:v>1.3725600231955629E-2</c:v>
                </c:pt>
                <c:pt idx="4">
                  <c:v>1.5142587240569789E-2</c:v>
                </c:pt>
                <c:pt idx="5">
                  <c:v>1.6461367228784947E-2</c:v>
                </c:pt>
                <c:pt idx="6">
                  <c:v>1.781755941524734E-2</c:v>
                </c:pt>
                <c:pt idx="7">
                  <c:v>1.9454343088564027E-2</c:v>
                </c:pt>
                <c:pt idx="8">
                  <c:v>2.0399001094306795E-2</c:v>
                </c:pt>
                <c:pt idx="9">
                  <c:v>2.1820664627701859E-2</c:v>
                </c:pt>
                <c:pt idx="10">
                  <c:v>2.2961736674242637E-2</c:v>
                </c:pt>
                <c:pt idx="11">
                  <c:v>2.4257134038553268E-2</c:v>
                </c:pt>
                <c:pt idx="12">
                  <c:v>2.5931329910117193E-2</c:v>
                </c:pt>
                <c:pt idx="13">
                  <c:v>2.7895470318097214E-2</c:v>
                </c:pt>
                <c:pt idx="14">
                  <c:v>3.0551736393651146E-2</c:v>
                </c:pt>
                <c:pt idx="15">
                  <c:v>3.3797244591599086E-2</c:v>
                </c:pt>
                <c:pt idx="16">
                  <c:v>3.9240719436572293E-2</c:v>
                </c:pt>
                <c:pt idx="17">
                  <c:v>4.6956985325065231E-2</c:v>
                </c:pt>
                <c:pt idx="18">
                  <c:v>6.1809628029218917E-2</c:v>
                </c:pt>
                <c:pt idx="19">
                  <c:v>9.7585042603140743E-2</c:v>
                </c:pt>
                <c:pt idx="20">
                  <c:v>0.23935856786105109</c:v>
                </c:pt>
              </c:numCache>
            </c:numRef>
          </c:xVal>
          <c:yVal>
            <c:numRef>
              <c:f>'Run 1 (Alex)'!$G$170:$G$190</c:f>
              <c:numCache>
                <c:formatCode>General</c:formatCode>
                <c:ptCount val="21"/>
                <c:pt idx="0">
                  <c:v>1.8499999999999999E-2</c:v>
                </c:pt>
                <c:pt idx="1">
                  <c:v>2.3800000000000002E-2</c:v>
                </c:pt>
                <c:pt idx="2">
                  <c:v>1.4E-2</c:v>
                </c:pt>
                <c:pt idx="3">
                  <c:v>2.2700000000000001E-2</c:v>
                </c:pt>
                <c:pt idx="4">
                  <c:v>1.9300000000000001E-2</c:v>
                </c:pt>
                <c:pt idx="5">
                  <c:v>1.38E-2</c:v>
                </c:pt>
                <c:pt idx="6">
                  <c:v>1.4E-2</c:v>
                </c:pt>
                <c:pt idx="7">
                  <c:v>1.4E-2</c:v>
                </c:pt>
                <c:pt idx="8">
                  <c:v>1.4E-2</c:v>
                </c:pt>
                <c:pt idx="9">
                  <c:v>2.87E-2</c:v>
                </c:pt>
                <c:pt idx="10">
                  <c:v>1.2999999999999999E-2</c:v>
                </c:pt>
                <c:pt idx="11">
                  <c:v>2.4899999999999999E-2</c:v>
                </c:pt>
                <c:pt idx="12">
                  <c:v>2.5600000000000001E-2</c:v>
                </c:pt>
                <c:pt idx="13">
                  <c:v>2.9600000000000001E-2</c:v>
                </c:pt>
                <c:pt idx="14">
                  <c:v>1.2999999999999999E-2</c:v>
                </c:pt>
                <c:pt idx="15">
                  <c:v>1.4999999999999999E-2</c:v>
                </c:pt>
                <c:pt idx="16">
                  <c:v>1.55E-2</c:v>
                </c:pt>
                <c:pt idx="17">
                  <c:v>1.4E-2</c:v>
                </c:pt>
                <c:pt idx="18">
                  <c:v>1.41E-2</c:v>
                </c:pt>
                <c:pt idx="19">
                  <c:v>1.5100000000000001E-2</c:v>
                </c:pt>
                <c:pt idx="20">
                  <c:v>1.7600000000000001E-2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03-443B-9DB5-002215D6EA6A}"/>
            </c:ext>
          </c:extLst>
        </c:ser>
        <c:ser>
          <c:idx val="9"/>
          <c:order val="9"/>
          <c:tx>
            <c:strRef>
              <c:f>'Run 1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(Alex)'!$I$254:$I$273</c:f>
              <c:numCache>
                <c:formatCode>General</c:formatCode>
                <c:ptCount val="20"/>
                <c:pt idx="0">
                  <c:v>8.9992678943515245E-2</c:v>
                </c:pt>
                <c:pt idx="1">
                  <c:v>9.3230838542546601E-2</c:v>
                </c:pt>
                <c:pt idx="2">
                  <c:v>0.10122768485667626</c:v>
                </c:pt>
                <c:pt idx="3">
                  <c:v>0.10826716224587488</c:v>
                </c:pt>
                <c:pt idx="4">
                  <c:v>0.11702427211803797</c:v>
                </c:pt>
                <c:pt idx="5">
                  <c:v>0.12459874978881569</c:v>
                </c:pt>
                <c:pt idx="6">
                  <c:v>0.13203243791180944</c:v>
                </c:pt>
                <c:pt idx="7">
                  <c:v>0.14200033789491467</c:v>
                </c:pt>
                <c:pt idx="8">
                  <c:v>0.14932139437968125</c:v>
                </c:pt>
                <c:pt idx="9">
                  <c:v>0.15844455707608268</c:v>
                </c:pt>
                <c:pt idx="10">
                  <c:v>0.16708903531001859</c:v>
                </c:pt>
                <c:pt idx="11">
                  <c:v>0.17426930224700118</c:v>
                </c:pt>
                <c:pt idx="12">
                  <c:v>0.18527904488370783</c:v>
                </c:pt>
                <c:pt idx="13">
                  <c:v>0.19904826265698033</c:v>
                </c:pt>
                <c:pt idx="14">
                  <c:v>0.2156332713859323</c:v>
                </c:pt>
                <c:pt idx="15">
                  <c:v>0.23610407163372191</c:v>
                </c:pt>
                <c:pt idx="16">
                  <c:v>0.26389592836627812</c:v>
                </c:pt>
                <c:pt idx="17">
                  <c:v>0.30340147547446078</c:v>
                </c:pt>
                <c:pt idx="18">
                  <c:v>0.37861125190065892</c:v>
                </c:pt>
                <c:pt idx="19">
                  <c:v>0.56698766683561419</c:v>
                </c:pt>
              </c:numCache>
            </c:numRef>
          </c:xVal>
          <c:yVal>
            <c:numRef>
              <c:f>'Run 1 (Alex)'!$G$254:$G$273</c:f>
              <c:numCache>
                <c:formatCode>General</c:formatCode>
                <c:ptCount val="20"/>
                <c:pt idx="0">
                  <c:v>3.1699999999999999E-2</c:v>
                </c:pt>
                <c:pt idx="1">
                  <c:v>2.6800000000000001E-2</c:v>
                </c:pt>
                <c:pt idx="2">
                  <c:v>2.87E-2</c:v>
                </c:pt>
                <c:pt idx="3">
                  <c:v>1.7000000000000001E-2</c:v>
                </c:pt>
                <c:pt idx="4">
                  <c:v>2.2800000000000001E-2</c:v>
                </c:pt>
                <c:pt idx="5">
                  <c:v>1.7000000000000001E-2</c:v>
                </c:pt>
                <c:pt idx="6">
                  <c:v>2.5499999999999998E-2</c:v>
                </c:pt>
                <c:pt idx="7">
                  <c:v>1.7899999999999999E-2</c:v>
                </c:pt>
                <c:pt idx="8">
                  <c:v>1.6E-2</c:v>
                </c:pt>
                <c:pt idx="9">
                  <c:v>3.1699999999999999E-2</c:v>
                </c:pt>
                <c:pt idx="10">
                  <c:v>1.7000000000000001E-2</c:v>
                </c:pt>
                <c:pt idx="11">
                  <c:v>2.46E-2</c:v>
                </c:pt>
                <c:pt idx="12">
                  <c:v>1.77E-2</c:v>
                </c:pt>
                <c:pt idx="13">
                  <c:v>3.1600000000000003E-2</c:v>
                </c:pt>
                <c:pt idx="14">
                  <c:v>1.9E-2</c:v>
                </c:pt>
                <c:pt idx="15">
                  <c:v>3.0599999999999999E-2</c:v>
                </c:pt>
                <c:pt idx="16">
                  <c:v>1.7000000000000001E-2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1.8100000000000002E-2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03-443B-9DB5-002215D6EA6A}"/>
            </c:ext>
          </c:extLst>
        </c:ser>
        <c:ser>
          <c:idx val="10"/>
          <c:order val="10"/>
          <c:tx>
            <c:strRef>
              <c:f>'Run 1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(Alex)'!$I$212:$I$232</c:f>
              <c:numCache>
                <c:formatCode>General</c:formatCode>
                <c:ptCount val="21"/>
                <c:pt idx="0">
                  <c:v>4.2725671788055052E-2</c:v>
                </c:pt>
                <c:pt idx="1">
                  <c:v>4.3244764201058564E-2</c:v>
                </c:pt>
                <c:pt idx="2">
                  <c:v>4.6999694366149349E-2</c:v>
                </c:pt>
                <c:pt idx="3">
                  <c:v>5.2117848531744691E-2</c:v>
                </c:pt>
                <c:pt idx="4">
                  <c:v>5.8031620975214554E-2</c:v>
                </c:pt>
                <c:pt idx="5">
                  <c:v>6.4537255796127665E-2</c:v>
                </c:pt>
                <c:pt idx="6">
                  <c:v>7.1125363243405834E-2</c:v>
                </c:pt>
                <c:pt idx="7">
                  <c:v>7.776198400031048E-2</c:v>
                </c:pt>
                <c:pt idx="8">
                  <c:v>8.3636945796079165E-2</c:v>
                </c:pt>
                <c:pt idx="9">
                  <c:v>9.0748996987323471E-2</c:v>
                </c:pt>
                <c:pt idx="10">
                  <c:v>9.6992659936253514E-2</c:v>
                </c:pt>
                <c:pt idx="11">
                  <c:v>0.10372145598144852</c:v>
                </c:pt>
                <c:pt idx="12">
                  <c:v>0.11202208325854199</c:v>
                </c:pt>
                <c:pt idx="13">
                  <c:v>0.12322865778226257</c:v>
                </c:pt>
                <c:pt idx="14">
                  <c:v>0.13704524836388865</c:v>
                </c:pt>
                <c:pt idx="15">
                  <c:v>0.15385511014946951</c:v>
                </c:pt>
                <c:pt idx="16">
                  <c:v>0.18167264188930235</c:v>
                </c:pt>
                <c:pt idx="17">
                  <c:v>0.22122069189682189</c:v>
                </c:pt>
                <c:pt idx="18">
                  <c:v>0.29363165784532985</c:v>
                </c:pt>
                <c:pt idx="19">
                  <c:v>0.47522667843922983</c:v>
                </c:pt>
                <c:pt idx="20">
                  <c:v>1.1843457252497225</c:v>
                </c:pt>
              </c:numCache>
            </c:numRef>
          </c:xVal>
          <c:yVal>
            <c:numRef>
              <c:f>'Run 1 (Alex)'!$G$212:$G$232</c:f>
              <c:numCache>
                <c:formatCode>General</c:formatCode>
                <c:ptCount val="21"/>
                <c:pt idx="0">
                  <c:v>4.6800000000000001E-2</c:v>
                </c:pt>
                <c:pt idx="1">
                  <c:v>4.7399999999999998E-2</c:v>
                </c:pt>
                <c:pt idx="2">
                  <c:v>4.3999999999999997E-2</c:v>
                </c:pt>
                <c:pt idx="3">
                  <c:v>4.8099999999999997E-2</c:v>
                </c:pt>
                <c:pt idx="4">
                  <c:v>4.7100000000000003E-2</c:v>
                </c:pt>
                <c:pt idx="5">
                  <c:v>4.7199999999999999E-2</c:v>
                </c:pt>
                <c:pt idx="6">
                  <c:v>4.7199999999999999E-2</c:v>
                </c:pt>
                <c:pt idx="7">
                  <c:v>4.82E-2</c:v>
                </c:pt>
                <c:pt idx="8">
                  <c:v>4.7199999999999999E-2</c:v>
                </c:pt>
                <c:pt idx="9">
                  <c:v>4.82E-2</c:v>
                </c:pt>
                <c:pt idx="10">
                  <c:v>4.5699999999999998E-2</c:v>
                </c:pt>
                <c:pt idx="11">
                  <c:v>4.9399999999999999E-2</c:v>
                </c:pt>
                <c:pt idx="12">
                  <c:v>4.7300000000000002E-2</c:v>
                </c:pt>
                <c:pt idx="13">
                  <c:v>4.9000000000000002E-2</c:v>
                </c:pt>
                <c:pt idx="14">
                  <c:v>4.7199999999999999E-2</c:v>
                </c:pt>
                <c:pt idx="15">
                  <c:v>4.82E-2</c:v>
                </c:pt>
                <c:pt idx="16">
                  <c:v>4.8099999999999997E-2</c:v>
                </c:pt>
                <c:pt idx="17">
                  <c:v>5.0299999999999997E-2</c:v>
                </c:pt>
                <c:pt idx="18">
                  <c:v>6.6000000000000003E-2</c:v>
                </c:pt>
                <c:pt idx="19">
                  <c:v>6.3399999999999998E-2</c:v>
                </c:pt>
                <c:pt idx="20">
                  <c:v>6.2E-2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03-443B-9DB5-002215D6EA6A}"/>
            </c:ext>
          </c:extLst>
        </c:ser>
        <c:ser>
          <c:idx val="11"/>
          <c:order val="11"/>
          <c:tx>
            <c:strRef>
              <c:f>'Run 1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(Alex)'!$I$233:$I$253</c:f>
              <c:numCache>
                <c:formatCode>General</c:formatCode>
                <c:ptCount val="21"/>
                <c:pt idx="0">
                  <c:v>3.9561009332872453E-2</c:v>
                </c:pt>
                <c:pt idx="1">
                  <c:v>3.9751123401313516E-2</c:v>
                </c:pt>
                <c:pt idx="2">
                  <c:v>4.2205323193916351E-2</c:v>
                </c:pt>
                <c:pt idx="3">
                  <c:v>4.3311441410300723E-2</c:v>
                </c:pt>
                <c:pt idx="4">
                  <c:v>4.4849637054960242E-2</c:v>
                </c:pt>
                <c:pt idx="5">
                  <c:v>4.7096439681991009E-2</c:v>
                </c:pt>
                <c:pt idx="6">
                  <c:v>4.8945731075008637E-2</c:v>
                </c:pt>
                <c:pt idx="7">
                  <c:v>5.0483926719668164E-2</c:v>
                </c:pt>
                <c:pt idx="8">
                  <c:v>5.2402350501209817E-2</c:v>
                </c:pt>
                <c:pt idx="9">
                  <c:v>5.4113377117179395E-2</c:v>
                </c:pt>
                <c:pt idx="10">
                  <c:v>5.6360179744210162E-2</c:v>
                </c:pt>
                <c:pt idx="11">
                  <c:v>5.8710680954026956E-2</c:v>
                </c:pt>
                <c:pt idx="12">
                  <c:v>6.1095748358105773E-2</c:v>
                </c:pt>
                <c:pt idx="13">
                  <c:v>6.4794331144141029E-2</c:v>
                </c:pt>
                <c:pt idx="14">
                  <c:v>6.9720013826477703E-2</c:v>
                </c:pt>
                <c:pt idx="15">
                  <c:v>7.5838230210853785E-2</c:v>
                </c:pt>
                <c:pt idx="16">
                  <c:v>8.6795713791911505E-2</c:v>
                </c:pt>
                <c:pt idx="17">
                  <c:v>0.10506394745938472</c:v>
                </c:pt>
                <c:pt idx="18">
                  <c:v>0.14422744555824404</c:v>
                </c:pt>
                <c:pt idx="19">
                  <c:v>0.255945385413066</c:v>
                </c:pt>
                <c:pt idx="20">
                  <c:v>0.86334255098513646</c:v>
                </c:pt>
              </c:numCache>
            </c:numRef>
          </c:xVal>
          <c:yVal>
            <c:numRef>
              <c:f>'Run 1 (Alex)'!$G$233:$G$253</c:f>
              <c:numCache>
                <c:formatCode>General</c:formatCode>
                <c:ptCount val="21"/>
                <c:pt idx="0">
                  <c:v>1.5100000000000001E-2</c:v>
                </c:pt>
                <c:pt idx="1">
                  <c:v>1.7500000000000002E-2</c:v>
                </c:pt>
                <c:pt idx="2">
                  <c:v>2.1399999999999999E-2</c:v>
                </c:pt>
                <c:pt idx="3">
                  <c:v>1.26E-2</c:v>
                </c:pt>
                <c:pt idx="4">
                  <c:v>1.7100000000000001E-2</c:v>
                </c:pt>
                <c:pt idx="5">
                  <c:v>1.2800000000000001E-2</c:v>
                </c:pt>
                <c:pt idx="6">
                  <c:v>1.54E-2</c:v>
                </c:pt>
                <c:pt idx="7">
                  <c:v>1.95E-2</c:v>
                </c:pt>
                <c:pt idx="8">
                  <c:v>2.0199999999999999E-2</c:v>
                </c:pt>
                <c:pt idx="9">
                  <c:v>2.3800000000000002E-2</c:v>
                </c:pt>
                <c:pt idx="10">
                  <c:v>2.01E-2</c:v>
                </c:pt>
                <c:pt idx="11">
                  <c:v>2.06E-2</c:v>
                </c:pt>
                <c:pt idx="12">
                  <c:v>1.2999999999999999E-2</c:v>
                </c:pt>
                <c:pt idx="13">
                  <c:v>2.7199999999999998E-2</c:v>
                </c:pt>
                <c:pt idx="14">
                  <c:v>2.1100000000000001E-2</c:v>
                </c:pt>
                <c:pt idx="15">
                  <c:v>1.9E-2</c:v>
                </c:pt>
                <c:pt idx="16">
                  <c:v>2.47E-2</c:v>
                </c:pt>
                <c:pt idx="17">
                  <c:v>2.4199999999999999E-2</c:v>
                </c:pt>
                <c:pt idx="18">
                  <c:v>2.7199999999999998E-2</c:v>
                </c:pt>
                <c:pt idx="19">
                  <c:v>1.2999999999999999E-2</c:v>
                </c:pt>
                <c:pt idx="2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703-443B-9DB5-002215D6EA6A}"/>
            </c:ext>
          </c:extLst>
        </c:ser>
        <c:ser>
          <c:idx val="12"/>
          <c:order val="12"/>
          <c:tx>
            <c:strRef>
              <c:f>'Run 1 (Alex)'!$A$274</c:f>
              <c:strCache>
                <c:ptCount val="1"/>
                <c:pt idx="0">
                  <c:v>Tanks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(Alex)'!$I$274:$I$295</c:f>
              <c:numCache>
                <c:formatCode>General</c:formatCode>
                <c:ptCount val="22"/>
                <c:pt idx="0">
                  <c:v>0.207273695786652</c:v>
                </c:pt>
                <c:pt idx="1">
                  <c:v>1.1598735308268609E-2</c:v>
                </c:pt>
                <c:pt idx="2">
                  <c:v>1.1598735308268609E-2</c:v>
                </c:pt>
                <c:pt idx="3">
                  <c:v>1.2088459687951062E-2</c:v>
                </c:pt>
                <c:pt idx="4">
                  <c:v>1.2303251082548629E-2</c:v>
                </c:pt>
                <c:pt idx="5">
                  <c:v>1.2741425527527665E-2</c:v>
                </c:pt>
                <c:pt idx="6">
                  <c:v>1.3411574678672072E-2</c:v>
                </c:pt>
                <c:pt idx="7">
                  <c:v>1.3901299058354525E-2</c:v>
                </c:pt>
                <c:pt idx="8">
                  <c:v>1.4425390061172588E-2</c:v>
                </c:pt>
                <c:pt idx="9">
                  <c:v>1.5043989277613582E-2</c:v>
                </c:pt>
                <c:pt idx="10">
                  <c:v>1.5636813526702865E-2</c:v>
                </c:pt>
                <c:pt idx="11">
                  <c:v>1.6298371022063371E-2</c:v>
                </c:pt>
                <c:pt idx="12">
                  <c:v>1.6968520173207779E-2</c:v>
                </c:pt>
                <c:pt idx="13">
                  <c:v>1.7819094095814142E-2</c:v>
                </c:pt>
                <c:pt idx="14">
                  <c:v>1.9056292528696128E-2</c:v>
                </c:pt>
                <c:pt idx="15">
                  <c:v>2.0723073750773247E-2</c:v>
                </c:pt>
                <c:pt idx="16">
                  <c:v>2.2810846106261599E-2</c:v>
                </c:pt>
                <c:pt idx="17">
                  <c:v>2.6462299814420234E-2</c:v>
                </c:pt>
                <c:pt idx="18">
                  <c:v>3.2330400714825763E-2</c:v>
                </c:pt>
                <c:pt idx="19">
                  <c:v>4.4066602515636807E-2</c:v>
                </c:pt>
                <c:pt idx="20">
                  <c:v>7.4609938827410821E-2</c:v>
                </c:pt>
                <c:pt idx="21">
                  <c:v>0.207273695786652</c:v>
                </c:pt>
              </c:numCache>
            </c:numRef>
          </c:xVal>
          <c:yVal>
            <c:numRef>
              <c:f>'Run 1 (Alex)'!$G$274:$G$295</c:f>
              <c:numCache>
                <c:formatCode>General</c:formatCode>
                <c:ptCount val="22"/>
                <c:pt idx="0">
                  <c:v>8.0000000000000002E-3</c:v>
                </c:pt>
                <c:pt idx="1">
                  <c:v>1.9099999999999999E-2</c:v>
                </c:pt>
                <c:pt idx="2">
                  <c:v>0</c:v>
                </c:pt>
                <c:pt idx="3">
                  <c:v>0</c:v>
                </c:pt>
                <c:pt idx="4">
                  <c:v>8.2000000000000007E-3</c:v>
                </c:pt>
                <c:pt idx="5">
                  <c:v>1.66E-2</c:v>
                </c:pt>
                <c:pt idx="6">
                  <c:v>8.8999999999999999E-3</c:v>
                </c:pt>
                <c:pt idx="7">
                  <c:v>1.5100000000000001E-2</c:v>
                </c:pt>
                <c:pt idx="8">
                  <c:v>1.7500000000000002E-2</c:v>
                </c:pt>
                <c:pt idx="9">
                  <c:v>1.11E-2</c:v>
                </c:pt>
                <c:pt idx="10">
                  <c:v>2.1299999999999999E-2</c:v>
                </c:pt>
                <c:pt idx="11">
                  <c:v>7.0000000000000001E-3</c:v>
                </c:pt>
                <c:pt idx="12">
                  <c:v>1.5299999999999999E-2</c:v>
                </c:pt>
                <c:pt idx="13">
                  <c:v>1.9900000000000001E-2</c:v>
                </c:pt>
                <c:pt idx="14">
                  <c:v>1.29E-2</c:v>
                </c:pt>
                <c:pt idx="15">
                  <c:v>1.6899999999999998E-2</c:v>
                </c:pt>
                <c:pt idx="16">
                  <c:v>1.54E-2</c:v>
                </c:pt>
                <c:pt idx="17">
                  <c:v>8.0000000000000002E-3</c:v>
                </c:pt>
                <c:pt idx="18">
                  <c:v>4.0000000000000001E-3</c:v>
                </c:pt>
                <c:pt idx="19">
                  <c:v>1E-3</c:v>
                </c:pt>
                <c:pt idx="20">
                  <c:v>8.0999999999999996E-3</c:v>
                </c:pt>
                <c:pt idx="21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703-443B-9DB5-002215D6EA6A}"/>
            </c:ext>
          </c:extLst>
        </c:ser>
        <c:ser>
          <c:idx val="13"/>
          <c:order val="13"/>
          <c:tx>
            <c:strRef>
              <c:f>'Run 1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(Alex)'!$I$296:$I$316</c:f>
              <c:numCache>
                <c:formatCode>General</c:formatCode>
                <c:ptCount val="21"/>
                <c:pt idx="0">
                  <c:v>7.898875544115308E-3</c:v>
                </c:pt>
                <c:pt idx="1">
                  <c:v>7.9401075566498409E-3</c:v>
                </c:pt>
                <c:pt idx="2">
                  <c:v>8.5821488946875493E-3</c:v>
                </c:pt>
                <c:pt idx="3">
                  <c:v>9.0357010325673986E-3</c:v>
                </c:pt>
                <c:pt idx="4">
                  <c:v>9.7896578331988383E-3</c:v>
                </c:pt>
                <c:pt idx="5">
                  <c:v>1.0396357446206948E-2</c:v>
                </c:pt>
                <c:pt idx="6">
                  <c:v>1.1050179359254526E-2</c:v>
                </c:pt>
                <c:pt idx="7">
                  <c:v>1.1815916734895829E-2</c:v>
                </c:pt>
                <c:pt idx="8">
                  <c:v>1.2269468872775679E-2</c:v>
                </c:pt>
                <c:pt idx="9">
                  <c:v>1.3041096535921918E-2</c:v>
                </c:pt>
                <c:pt idx="10">
                  <c:v>1.3677247586454694E-2</c:v>
                </c:pt>
                <c:pt idx="11">
                  <c:v>1.436641122453187E-2</c:v>
                </c:pt>
                <c:pt idx="12">
                  <c:v>1.5350089237855699E-2</c:v>
                </c:pt>
                <c:pt idx="13">
                  <c:v>1.6428011851258459E-2</c:v>
                </c:pt>
                <c:pt idx="14">
                  <c:v>1.7959486602541069E-2</c:v>
                </c:pt>
                <c:pt idx="15">
                  <c:v>1.9973964929228195E-2</c:v>
                </c:pt>
                <c:pt idx="16">
                  <c:v>2.3431563694623934E-2</c:v>
                </c:pt>
                <c:pt idx="17">
                  <c:v>2.8673919574014408E-2</c:v>
                </c:pt>
                <c:pt idx="18">
                  <c:v>3.9188082770320022E-2</c:v>
                </c:pt>
                <c:pt idx="19">
                  <c:v>6.9028279270311174E-2</c:v>
                </c:pt>
                <c:pt idx="20">
                  <c:v>0.20828645646193991</c:v>
                </c:pt>
              </c:numCache>
            </c:numRef>
          </c:xVal>
          <c:yVal>
            <c:numRef>
              <c:f>'Run 1 (Alex)'!$G$296:$G$316</c:f>
              <c:numCache>
                <c:formatCode>General</c:formatCode>
                <c:ptCount val="21"/>
                <c:pt idx="0">
                  <c:v>7.1999999999999998E-3</c:v>
                </c:pt>
                <c:pt idx="1">
                  <c:v>7.9000000000000008E-3</c:v>
                </c:pt>
                <c:pt idx="2">
                  <c:v>1.8200000000000001E-2</c:v>
                </c:pt>
                <c:pt idx="3">
                  <c:v>9.4000000000000004E-3</c:v>
                </c:pt>
                <c:pt idx="4">
                  <c:v>1.9699999999999999E-2</c:v>
                </c:pt>
                <c:pt idx="5">
                  <c:v>1.0699999999999999E-2</c:v>
                </c:pt>
                <c:pt idx="6">
                  <c:v>7.1000000000000004E-3</c:v>
                </c:pt>
                <c:pt idx="7">
                  <c:v>1.3299999999999999E-2</c:v>
                </c:pt>
                <c:pt idx="8">
                  <c:v>1.5100000000000001E-2</c:v>
                </c:pt>
                <c:pt idx="9">
                  <c:v>1.77E-2</c:v>
                </c:pt>
                <c:pt idx="10">
                  <c:v>3.0999999999999999E-3</c:v>
                </c:pt>
                <c:pt idx="11">
                  <c:v>1.0699999999999999E-2</c:v>
                </c:pt>
                <c:pt idx="12">
                  <c:v>1.7100000000000001E-2</c:v>
                </c:pt>
                <c:pt idx="13">
                  <c:v>2.1600000000000001E-2</c:v>
                </c:pt>
                <c:pt idx="14">
                  <c:v>1.6799999999999999E-2</c:v>
                </c:pt>
                <c:pt idx="15">
                  <c:v>4.1000000000000003E-3</c:v>
                </c:pt>
                <c:pt idx="16">
                  <c:v>1.7299999999999999E-2</c:v>
                </c:pt>
                <c:pt idx="17">
                  <c:v>6.4000000000000003E-3</c:v>
                </c:pt>
                <c:pt idx="18">
                  <c:v>1.6299999999999999E-2</c:v>
                </c:pt>
                <c:pt idx="19">
                  <c:v>1.5599999999999999E-2</c:v>
                </c:pt>
                <c:pt idx="2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703-443B-9DB5-002215D6EA6A}"/>
            </c:ext>
          </c:extLst>
        </c:ser>
        <c:ser>
          <c:idx val="14"/>
          <c:order val="14"/>
          <c:tx>
            <c:strRef>
              <c:f>'Run 1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(Alex)'!$I$191:$I$211</c:f>
              <c:numCache>
                <c:formatCode>General</c:formatCode>
                <c:ptCount val="21"/>
                <c:pt idx="0">
                  <c:v>1.4880973766086325E-2</c:v>
                </c:pt>
                <c:pt idx="1">
                  <c:v>1.493845700612915E-2</c:v>
                </c:pt>
                <c:pt idx="2">
                  <c:v>1.5352815361437845E-2</c:v>
                </c:pt>
                <c:pt idx="3">
                  <c:v>1.5776754256753681E-2</c:v>
                </c:pt>
                <c:pt idx="4">
                  <c:v>1.6262966662115911E-2</c:v>
                </c:pt>
                <c:pt idx="5">
                  <c:v>1.6715647177453156E-2</c:v>
                </c:pt>
                <c:pt idx="6">
                  <c:v>1.7314430927899253E-2</c:v>
                </c:pt>
                <c:pt idx="7">
                  <c:v>1.7865311978309657E-2</c:v>
                </c:pt>
                <c:pt idx="8">
                  <c:v>1.8310807088641551E-2</c:v>
                </c:pt>
                <c:pt idx="9">
                  <c:v>1.8825761114025188E-2</c:v>
                </c:pt>
                <c:pt idx="10">
                  <c:v>1.9386222704442735E-2</c:v>
                </c:pt>
                <c:pt idx="11">
                  <c:v>1.9941894024856712E-2</c:v>
                </c:pt>
                <c:pt idx="12">
                  <c:v>2.064127344537775E-2</c:v>
                </c:pt>
                <c:pt idx="13">
                  <c:v>2.1546634476052241E-2</c:v>
                </c:pt>
                <c:pt idx="14">
                  <c:v>2.2792104676980115E-2</c:v>
                </c:pt>
                <c:pt idx="15">
                  <c:v>2.4552528903291633E-2</c:v>
                </c:pt>
                <c:pt idx="16">
                  <c:v>2.7649438460598832E-2</c:v>
                </c:pt>
                <c:pt idx="17">
                  <c:v>3.2190614423982009E-2</c:v>
                </c:pt>
                <c:pt idx="18">
                  <c:v>4.1634631736017801E-2</c:v>
                </c:pt>
                <c:pt idx="19">
                  <c:v>6.7099707074989273E-2</c:v>
                </c:pt>
                <c:pt idx="20">
                  <c:v>0.18721812254947748</c:v>
                </c:pt>
              </c:numCache>
            </c:numRef>
          </c:xVal>
          <c:yVal>
            <c:numRef>
              <c:f>'Run 1 (Alex)'!$G$191:$G$211</c:f>
              <c:numCache>
                <c:formatCode>General</c:formatCode>
                <c:ptCount val="21"/>
                <c:pt idx="0">
                  <c:v>4.07E-2</c:v>
                </c:pt>
                <c:pt idx="1">
                  <c:v>4.7399999999999998E-2</c:v>
                </c:pt>
                <c:pt idx="2">
                  <c:v>4.2099999999999999E-2</c:v>
                </c:pt>
                <c:pt idx="3">
                  <c:v>3.3000000000000002E-2</c:v>
                </c:pt>
                <c:pt idx="4">
                  <c:v>4.41E-2</c:v>
                </c:pt>
                <c:pt idx="5">
                  <c:v>4.3299999999999998E-2</c:v>
                </c:pt>
                <c:pt idx="6">
                  <c:v>4.6100000000000002E-2</c:v>
                </c:pt>
                <c:pt idx="7">
                  <c:v>4.2299999999999997E-2</c:v>
                </c:pt>
                <c:pt idx="8">
                  <c:v>3.4000000000000002E-2</c:v>
                </c:pt>
                <c:pt idx="9">
                  <c:v>3.5299999999999998E-2</c:v>
                </c:pt>
                <c:pt idx="10">
                  <c:v>3.2099999999999997E-2</c:v>
                </c:pt>
                <c:pt idx="11">
                  <c:v>4.7E-2</c:v>
                </c:pt>
                <c:pt idx="12">
                  <c:v>3.4000000000000002E-2</c:v>
                </c:pt>
                <c:pt idx="13">
                  <c:v>3.1E-2</c:v>
                </c:pt>
                <c:pt idx="14">
                  <c:v>3.4000000000000002E-2</c:v>
                </c:pt>
                <c:pt idx="15">
                  <c:v>3.3000000000000002E-2</c:v>
                </c:pt>
                <c:pt idx="16">
                  <c:v>3.15E-2</c:v>
                </c:pt>
                <c:pt idx="17">
                  <c:v>3.5099999999999999E-2</c:v>
                </c:pt>
                <c:pt idx="18">
                  <c:v>3.5999999999999997E-2</c:v>
                </c:pt>
                <c:pt idx="19">
                  <c:v>4.0899999999999999E-2</c:v>
                </c:pt>
                <c:pt idx="20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703-443B-9DB5-002215D6E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1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1 (Alex)'!$I$2:$I$22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2.0071404934198105E-2</c:v>
                      </c:pt>
                      <c:pt idx="1">
                        <c:v>2.0079170132167607E-2</c:v>
                      </c:pt>
                      <c:pt idx="2">
                        <c:v>2.0368564430407816E-2</c:v>
                      </c:pt>
                      <c:pt idx="3">
                        <c:v>2.0697291144450066E-2</c:v>
                      </c:pt>
                      <c:pt idx="4">
                        <c:v>2.1269890090375086E-2</c:v>
                      </c:pt>
                      <c:pt idx="5">
                        <c:v>2.1797473395897195E-2</c:v>
                      </c:pt>
                      <c:pt idx="6">
                        <c:v>2.2457402684203858E-2</c:v>
                      </c:pt>
                      <c:pt idx="7">
                        <c:v>2.3188681762549134E-2</c:v>
                      </c:pt>
                      <c:pt idx="8">
                        <c:v>2.3724536691995275E-2</c:v>
                      </c:pt>
                      <c:pt idx="9">
                        <c:v>2.4500437523889938E-2</c:v>
                      </c:pt>
                      <c:pt idx="10">
                        <c:v>2.5208533547427719E-2</c:v>
                      </c:pt>
                      <c:pt idx="11">
                        <c:v>2.5966990818666252E-2</c:v>
                      </c:pt>
                      <c:pt idx="12">
                        <c:v>2.707820190201209E-2</c:v>
                      </c:pt>
                      <c:pt idx="13">
                        <c:v>2.839350264503462E-2</c:v>
                      </c:pt>
                      <c:pt idx="14">
                        <c:v>3.0194015722050025E-2</c:v>
                      </c:pt>
                      <c:pt idx="15">
                        <c:v>3.2394436494494784E-2</c:v>
                      </c:pt>
                      <c:pt idx="16">
                        <c:v>3.6067093786316715E-2</c:v>
                      </c:pt>
                      <c:pt idx="17">
                        <c:v>4.1816097491722888E-2</c:v>
                      </c:pt>
                      <c:pt idx="18">
                        <c:v>5.2461171056001087E-2</c:v>
                      </c:pt>
                      <c:pt idx="19">
                        <c:v>7.8521287980750851E-2</c:v>
                      </c:pt>
                      <c:pt idx="20">
                        <c:v>0.2006713407531488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1 (Alex)'!$G$2:$G$22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4.3216000000000001</c:v>
                      </c:pt>
                      <c:pt idx="1">
                        <c:v>4.4128999999999996</c:v>
                      </c:pt>
                      <c:pt idx="2">
                        <c:v>4.6538000000000004</c:v>
                      </c:pt>
                      <c:pt idx="3">
                        <c:v>4.3974000000000002</c:v>
                      </c:pt>
                      <c:pt idx="4">
                        <c:v>4.5269000000000004</c:v>
                      </c:pt>
                      <c:pt idx="5">
                        <c:v>4.4931999999999999</c:v>
                      </c:pt>
                      <c:pt idx="6">
                        <c:v>4.7945000000000002</c:v>
                      </c:pt>
                      <c:pt idx="7">
                        <c:v>4.6647999999999996</c:v>
                      </c:pt>
                      <c:pt idx="8">
                        <c:v>4.8502999999999998</c:v>
                      </c:pt>
                      <c:pt idx="9">
                        <c:v>4.8861999999999997</c:v>
                      </c:pt>
                      <c:pt idx="10">
                        <c:v>4.8863000000000003</c:v>
                      </c:pt>
                      <c:pt idx="11">
                        <c:v>5.0194999999999999</c:v>
                      </c:pt>
                      <c:pt idx="12">
                        <c:v>4.9855</c:v>
                      </c:pt>
                      <c:pt idx="13">
                        <c:v>4.9032999999999998</c:v>
                      </c:pt>
                      <c:pt idx="14">
                        <c:v>4.9217000000000004</c:v>
                      </c:pt>
                      <c:pt idx="15">
                        <c:v>4.9562999999999997</c:v>
                      </c:pt>
                      <c:pt idx="16">
                        <c:v>5.0934999999999997</c:v>
                      </c:pt>
                      <c:pt idx="17">
                        <c:v>5.0377000000000001</c:v>
                      </c:pt>
                      <c:pt idx="18">
                        <c:v>5.2694000000000001</c:v>
                      </c:pt>
                      <c:pt idx="19">
                        <c:v>5.4040999999999997</c:v>
                      </c:pt>
                      <c:pt idx="20">
                        <c:v>4.5515999999999996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703-443B-9DB5-002215D6EA6A}"/>
                  </c:ext>
                </c:extLst>
              </c15:ser>
            </c15:filteredScatterSeries>
          </c:ext>
        </c:extLst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3650514941250457"/>
              <c:y val="0.89257008100769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At val="0"/>
        <c:crossBetween val="midCat"/>
      </c:valAx>
      <c:valAx>
        <c:axId val="1231545280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4481169341024649"/>
              <c:y val="0.41476460150904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3.1047952459132597E-2"/>
          <c:y val="4.3693361224015487E-2"/>
          <c:w val="0.13979435026616691"/>
          <c:h val="0.7290447441370044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034607233102114"/>
          <c:y val="0.12039579559597302"/>
          <c:w val="0.71376497936745364"/>
          <c:h val="0.76347189872231636"/>
        </c:manualLayout>
      </c:layout>
      <c:scatterChart>
        <c:scatterStyle val="lineMarker"/>
        <c:varyColors val="0"/>
        <c:ser>
          <c:idx val="2"/>
          <c:order val="1"/>
          <c:tx>
            <c:strRef>
              <c:f>'Run 1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(Alex)'!$H$23:$H$43</c:f>
              <c:numCache>
                <c:formatCode>General</c:formatCode>
                <c:ptCount val="21"/>
                <c:pt idx="0">
                  <c:v>0.55493230174081243</c:v>
                </c:pt>
                <c:pt idx="1">
                  <c:v>0.60367504835589936</c:v>
                </c:pt>
                <c:pt idx="2">
                  <c:v>0.69032882011605412</c:v>
                </c:pt>
                <c:pt idx="3">
                  <c:v>0.7688588007736944</c:v>
                </c:pt>
                <c:pt idx="4">
                  <c:v>0.82882011605415862</c:v>
                </c:pt>
                <c:pt idx="5">
                  <c:v>0.88994197292069621</c:v>
                </c:pt>
                <c:pt idx="6">
                  <c:v>0.94410058027079302</c:v>
                </c:pt>
                <c:pt idx="7">
                  <c:v>0.98588007736943895</c:v>
                </c:pt>
                <c:pt idx="8">
                  <c:v>1.0290135396518376</c:v>
                </c:pt>
                <c:pt idx="9">
                  <c:v>1.067117988394584</c:v>
                </c:pt>
                <c:pt idx="10">
                  <c:v>1.1003868471953577</c:v>
                </c:pt>
                <c:pt idx="11">
                  <c:v>1.1429400386847195</c:v>
                </c:pt>
                <c:pt idx="12">
                  <c:v>1.1934235976789169</c:v>
                </c:pt>
                <c:pt idx="13">
                  <c:v>1.2539651837524177</c:v>
                </c:pt>
                <c:pt idx="14">
                  <c:v>1.3272727272727274</c:v>
                </c:pt>
                <c:pt idx="15">
                  <c:v>1.408510638297872</c:v>
                </c:pt>
                <c:pt idx="16">
                  <c:v>1.5069632495164409</c:v>
                </c:pt>
                <c:pt idx="17">
                  <c:v>1.6363636363636362</c:v>
                </c:pt>
                <c:pt idx="18">
                  <c:v>1.9059961315280465</c:v>
                </c:pt>
                <c:pt idx="19">
                  <c:v>2.4388781431334623</c:v>
                </c:pt>
                <c:pt idx="20">
                  <c:v>3.6707930367504833</c:v>
                </c:pt>
              </c:numCache>
            </c:numRef>
          </c:xVal>
          <c:yVal>
            <c:numRef>
              <c:f>'Run 1 (Alex)'!$F$23:$F$43</c:f>
              <c:numCache>
                <c:formatCode>General</c:formatCode>
                <c:ptCount val="21"/>
                <c:pt idx="0">
                  <c:v>5.7782</c:v>
                </c:pt>
                <c:pt idx="1">
                  <c:v>5.5796999999999999</c:v>
                </c:pt>
                <c:pt idx="2">
                  <c:v>5.7305000000000001</c:v>
                </c:pt>
                <c:pt idx="3">
                  <c:v>5.7153</c:v>
                </c:pt>
                <c:pt idx="4">
                  <c:v>5.5023999999999997</c:v>
                </c:pt>
                <c:pt idx="5">
                  <c:v>5.5646000000000004</c:v>
                </c:pt>
                <c:pt idx="6">
                  <c:v>5.5358999999999998</c:v>
                </c:pt>
                <c:pt idx="7">
                  <c:v>5.7977999999999996</c:v>
                </c:pt>
                <c:pt idx="8">
                  <c:v>7.2751999999999999</c:v>
                </c:pt>
                <c:pt idx="9">
                  <c:v>8.4886999999999997</c:v>
                </c:pt>
                <c:pt idx="10">
                  <c:v>5.7961999999999998</c:v>
                </c:pt>
                <c:pt idx="11">
                  <c:v>5.6901999999999999</c:v>
                </c:pt>
                <c:pt idx="12">
                  <c:v>5.7182000000000004</c:v>
                </c:pt>
                <c:pt idx="13">
                  <c:v>5.7389000000000001</c:v>
                </c:pt>
                <c:pt idx="14">
                  <c:v>5.899</c:v>
                </c:pt>
                <c:pt idx="15">
                  <c:v>5.6573000000000002</c:v>
                </c:pt>
                <c:pt idx="16">
                  <c:v>5.6708999999999996</c:v>
                </c:pt>
                <c:pt idx="17">
                  <c:v>5.6718000000000002</c:v>
                </c:pt>
                <c:pt idx="18">
                  <c:v>5.9180000000000001</c:v>
                </c:pt>
                <c:pt idx="19">
                  <c:v>5.9029999999999996</c:v>
                </c:pt>
                <c:pt idx="20">
                  <c:v>6.1132999999999997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F9-4281-8C8D-5926CD3ACCE1}"/>
            </c:ext>
          </c:extLst>
        </c:ser>
        <c:ser>
          <c:idx val="3"/>
          <c:order val="2"/>
          <c:tx>
            <c:strRef>
              <c:f>'Run 1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(Alex)'!$H$44:$H$64</c:f>
              <c:numCache>
                <c:formatCode>General</c:formatCode>
                <c:ptCount val="21"/>
                <c:pt idx="0">
                  <c:v>2.9550697572228935E-2</c:v>
                </c:pt>
                <c:pt idx="1">
                  <c:v>3.5263100076897723E-2</c:v>
                </c:pt>
                <c:pt idx="2">
                  <c:v>4.7017466769196964E-2</c:v>
                </c:pt>
                <c:pt idx="3">
                  <c:v>5.7526822659196598E-2</c:v>
                </c:pt>
                <c:pt idx="4">
                  <c:v>6.7010875535537723E-2</c:v>
                </c:pt>
                <c:pt idx="5">
                  <c:v>7.5684102049036681E-2</c:v>
                </c:pt>
                <c:pt idx="6">
                  <c:v>8.3619738129240478E-2</c:v>
                </c:pt>
                <c:pt idx="7">
                  <c:v>9.1387977799051057E-2</c:v>
                </c:pt>
                <c:pt idx="8">
                  <c:v>9.766534318879698E-2</c:v>
                </c:pt>
                <c:pt idx="9">
                  <c:v>0.10487908224918002</c:v>
                </c:pt>
                <c:pt idx="10">
                  <c:v>0.11082165481813948</c:v>
                </c:pt>
                <c:pt idx="11">
                  <c:v>0.11707286451876148</c:v>
                </c:pt>
                <c:pt idx="12">
                  <c:v>0.12491434011811908</c:v>
                </c:pt>
                <c:pt idx="13">
                  <c:v>0.13484827084739198</c:v>
                </c:pt>
                <c:pt idx="14">
                  <c:v>0.14659740640186647</c:v>
                </c:pt>
                <c:pt idx="15">
                  <c:v>0.16007804857634583</c:v>
                </c:pt>
                <c:pt idx="16">
                  <c:v>0.1813583172475845</c:v>
                </c:pt>
                <c:pt idx="17">
                  <c:v>0.21035974534821067</c:v>
                </c:pt>
                <c:pt idx="18">
                  <c:v>0.26238864215355479</c:v>
                </c:pt>
                <c:pt idx="19">
                  <c:v>0.3735712454816047</c:v>
                </c:pt>
                <c:pt idx="20">
                  <c:v>0.663815696552157</c:v>
                </c:pt>
              </c:numCache>
            </c:numRef>
          </c:xVal>
          <c:yVal>
            <c:numRef>
              <c:f>'Run 1 (Alex)'!$F$44:$F$64</c:f>
              <c:numCache>
                <c:formatCode>General</c:formatCode>
                <c:ptCount val="21"/>
                <c:pt idx="0">
                  <c:v>10.945600000000001</c:v>
                </c:pt>
                <c:pt idx="1">
                  <c:v>10.9808</c:v>
                </c:pt>
                <c:pt idx="2">
                  <c:v>11.2567</c:v>
                </c:pt>
                <c:pt idx="3">
                  <c:v>11.1289</c:v>
                </c:pt>
                <c:pt idx="4">
                  <c:v>11.2448</c:v>
                </c:pt>
                <c:pt idx="5">
                  <c:v>11.227499999999999</c:v>
                </c:pt>
                <c:pt idx="6">
                  <c:v>11.495699999999999</c:v>
                </c:pt>
                <c:pt idx="7">
                  <c:v>11.400700000000001</c:v>
                </c:pt>
                <c:pt idx="8">
                  <c:v>11.411099999999999</c:v>
                </c:pt>
                <c:pt idx="9">
                  <c:v>11.734500000000001</c:v>
                </c:pt>
                <c:pt idx="10">
                  <c:v>11.695</c:v>
                </c:pt>
                <c:pt idx="11">
                  <c:v>11.5154</c:v>
                </c:pt>
                <c:pt idx="12">
                  <c:v>11.5738</c:v>
                </c:pt>
                <c:pt idx="13">
                  <c:v>11.6707</c:v>
                </c:pt>
                <c:pt idx="14">
                  <c:v>11.7133</c:v>
                </c:pt>
                <c:pt idx="15">
                  <c:v>12.151300000000001</c:v>
                </c:pt>
                <c:pt idx="16">
                  <c:v>11.9284</c:v>
                </c:pt>
                <c:pt idx="17">
                  <c:v>12.293200000000001</c:v>
                </c:pt>
                <c:pt idx="18">
                  <c:v>12.619199999999999</c:v>
                </c:pt>
                <c:pt idx="19">
                  <c:v>13.0138</c:v>
                </c:pt>
                <c:pt idx="20">
                  <c:v>15.055099999999999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F9-4281-8C8D-5926CD3ACCE1}"/>
            </c:ext>
          </c:extLst>
        </c:ser>
        <c:ser>
          <c:idx val="4"/>
          <c:order val="3"/>
          <c:tx>
            <c:strRef>
              <c:f>'Run 1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(Alex)'!$H$65:$H$85</c:f>
              <c:numCache>
                <c:formatCode>General</c:formatCode>
                <c:ptCount val="21"/>
                <c:pt idx="0">
                  <c:v>1.3207968947928169E-2</c:v>
                </c:pt>
                <c:pt idx="1">
                  <c:v>1.5360072617410566E-2</c:v>
                </c:pt>
                <c:pt idx="2">
                  <c:v>1.9914241005805331E-2</c:v>
                </c:pt>
                <c:pt idx="3">
                  <c:v>2.3751718905590594E-2</c:v>
                </c:pt>
                <c:pt idx="4">
                  <c:v>2.7310107503573294E-2</c:v>
                </c:pt>
                <c:pt idx="5">
                  <c:v>3.0769595523732755E-2</c:v>
                </c:pt>
                <c:pt idx="6">
                  <c:v>3.349071621630776E-2</c:v>
                </c:pt>
                <c:pt idx="7">
                  <c:v>3.7818632597901414E-2</c:v>
                </c:pt>
                <c:pt idx="8">
                  <c:v>3.9679453743657833E-2</c:v>
                </c:pt>
                <c:pt idx="9">
                  <c:v>4.1791590741280159E-2</c:v>
                </c:pt>
                <c:pt idx="10">
                  <c:v>4.335435535113092E-2</c:v>
                </c:pt>
                <c:pt idx="11">
                  <c:v>4.5114243715410202E-2</c:v>
                </c:pt>
                <c:pt idx="12">
                  <c:v>5.6080014631866314E-2</c:v>
                </c:pt>
                <c:pt idx="13">
                  <c:v>6.4595625342934379E-2</c:v>
                </c:pt>
                <c:pt idx="14">
                  <c:v>6.7989405444950995E-2</c:v>
                </c:pt>
                <c:pt idx="15">
                  <c:v>7.1880398040955668E-2</c:v>
                </c:pt>
                <c:pt idx="16">
                  <c:v>7.7246093088475368E-2</c:v>
                </c:pt>
                <c:pt idx="17">
                  <c:v>8.4650088400858955E-2</c:v>
                </c:pt>
                <c:pt idx="18">
                  <c:v>0.10790324001002555</c:v>
                </c:pt>
                <c:pt idx="19">
                  <c:v>0.14934461432161655</c:v>
                </c:pt>
                <c:pt idx="20">
                  <c:v>0.26027312817108444</c:v>
                </c:pt>
              </c:numCache>
            </c:numRef>
          </c:xVal>
          <c:yVal>
            <c:numRef>
              <c:f>'Run 1 (Alex)'!$F$65:$F$85</c:f>
              <c:numCache>
                <c:formatCode>General</c:formatCode>
                <c:ptCount val="21"/>
                <c:pt idx="0">
                  <c:v>43.437399999999997</c:v>
                </c:pt>
                <c:pt idx="1">
                  <c:v>43.078600000000002</c:v>
                </c:pt>
                <c:pt idx="2">
                  <c:v>43.596400000000003</c:v>
                </c:pt>
                <c:pt idx="3">
                  <c:v>43.4619</c:v>
                </c:pt>
                <c:pt idx="4">
                  <c:v>43.8444</c:v>
                </c:pt>
                <c:pt idx="5">
                  <c:v>44.1477</c:v>
                </c:pt>
                <c:pt idx="6">
                  <c:v>44.402000000000001</c:v>
                </c:pt>
                <c:pt idx="7">
                  <c:v>44.374699999999997</c:v>
                </c:pt>
                <c:pt idx="8">
                  <c:v>44.805500000000002</c:v>
                </c:pt>
                <c:pt idx="9">
                  <c:v>44.624499999999998</c:v>
                </c:pt>
                <c:pt idx="10">
                  <c:v>44.671799999999998</c:v>
                </c:pt>
                <c:pt idx="11">
                  <c:v>44.645699999999998</c:v>
                </c:pt>
                <c:pt idx="12">
                  <c:v>45.508899999999997</c:v>
                </c:pt>
                <c:pt idx="13">
                  <c:v>46.713500000000003</c:v>
                </c:pt>
                <c:pt idx="14">
                  <c:v>46.055199999999999</c:v>
                </c:pt>
                <c:pt idx="15">
                  <c:v>46.112299999999998</c:v>
                </c:pt>
                <c:pt idx="16">
                  <c:v>46.174300000000002</c:v>
                </c:pt>
                <c:pt idx="17">
                  <c:v>46.404299999999999</c:v>
                </c:pt>
                <c:pt idx="18">
                  <c:v>46.791899999999998</c:v>
                </c:pt>
                <c:pt idx="19">
                  <c:v>47.784199999999998</c:v>
                </c:pt>
                <c:pt idx="20">
                  <c:v>53.227699999999999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F9-4281-8C8D-5926CD3ACCE1}"/>
            </c:ext>
          </c:extLst>
        </c:ser>
        <c:ser>
          <c:idx val="5"/>
          <c:order val="4"/>
          <c:tx>
            <c:strRef>
              <c:f>'Run 1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(Alex)'!$H$86:$H$106</c:f>
              <c:numCache>
                <c:formatCode>General</c:formatCode>
                <c:ptCount val="21"/>
                <c:pt idx="0">
                  <c:v>1.1946647880072889E-2</c:v>
                </c:pt>
                <c:pt idx="1">
                  <c:v>1.2316508945083083E-2</c:v>
                </c:pt>
                <c:pt idx="2">
                  <c:v>1.2857075117021062E-2</c:v>
                </c:pt>
                <c:pt idx="3">
                  <c:v>1.3702471837044363E-2</c:v>
                </c:pt>
                <c:pt idx="4">
                  <c:v>1.4505869681553688E-2</c:v>
                </c:pt>
                <c:pt idx="5">
                  <c:v>1.5633742709469392E-2</c:v>
                </c:pt>
                <c:pt idx="6">
                  <c:v>1.7127412395087489E-2</c:v>
                </c:pt>
                <c:pt idx="7">
                  <c:v>1.9695440412401861E-2</c:v>
                </c:pt>
                <c:pt idx="8">
                  <c:v>2.0466322998448753E-2</c:v>
                </c:pt>
                <c:pt idx="9">
                  <c:v>2.1859737303807674E-2</c:v>
                </c:pt>
                <c:pt idx="10">
                  <c:v>2.2510042473056369E-2</c:v>
                </c:pt>
                <c:pt idx="11">
                  <c:v>2.3434695135581853E-2</c:v>
                </c:pt>
                <c:pt idx="12">
                  <c:v>3.7447416730455277E-2</c:v>
                </c:pt>
                <c:pt idx="13">
                  <c:v>4.4247170156411948E-2</c:v>
                </c:pt>
                <c:pt idx="14">
                  <c:v>4.5366236968494074E-2</c:v>
                </c:pt>
                <c:pt idx="15">
                  <c:v>4.7027902156168082E-2</c:v>
                </c:pt>
                <c:pt idx="16">
                  <c:v>4.9372387771553214E-2</c:v>
                </c:pt>
                <c:pt idx="17">
                  <c:v>5.3180737418965889E-2</c:v>
                </c:pt>
                <c:pt idx="18">
                  <c:v>6.976216443237164E-2</c:v>
                </c:pt>
                <c:pt idx="19">
                  <c:v>9.5878013588668445E-2</c:v>
                </c:pt>
                <c:pt idx="20">
                  <c:v>0.16582510855354518</c:v>
                </c:pt>
              </c:numCache>
            </c:numRef>
          </c:xVal>
          <c:yVal>
            <c:numRef>
              <c:f>'Run 1 (Alex)'!$F$86:$F$106</c:f>
              <c:numCache>
                <c:formatCode>General</c:formatCode>
                <c:ptCount val="21"/>
                <c:pt idx="0">
                  <c:v>42.592700000000001</c:v>
                </c:pt>
                <c:pt idx="1">
                  <c:v>42.747599999999998</c:v>
                </c:pt>
                <c:pt idx="2">
                  <c:v>42.797499999999999</c:v>
                </c:pt>
                <c:pt idx="3">
                  <c:v>44.641300000000001</c:v>
                </c:pt>
                <c:pt idx="4">
                  <c:v>43.4863</c:v>
                </c:pt>
                <c:pt idx="5">
                  <c:v>43.040300000000002</c:v>
                </c:pt>
                <c:pt idx="6">
                  <c:v>43.167400000000001</c:v>
                </c:pt>
                <c:pt idx="7">
                  <c:v>43.3352</c:v>
                </c:pt>
                <c:pt idx="8">
                  <c:v>43.339300000000001</c:v>
                </c:pt>
                <c:pt idx="9">
                  <c:v>43.460700000000003</c:v>
                </c:pt>
                <c:pt idx="10">
                  <c:v>43.401800000000001</c:v>
                </c:pt>
                <c:pt idx="11">
                  <c:v>43.386299999999999</c:v>
                </c:pt>
                <c:pt idx="12">
                  <c:v>44.195099999999996</c:v>
                </c:pt>
                <c:pt idx="13">
                  <c:v>44.634900000000002</c:v>
                </c:pt>
                <c:pt idx="14">
                  <c:v>44.819000000000003</c:v>
                </c:pt>
                <c:pt idx="15">
                  <c:v>44.967599999999997</c:v>
                </c:pt>
                <c:pt idx="16">
                  <c:v>44.957000000000001</c:v>
                </c:pt>
                <c:pt idx="17">
                  <c:v>45.200699999999998</c:v>
                </c:pt>
                <c:pt idx="18">
                  <c:v>45.349499999999999</c:v>
                </c:pt>
                <c:pt idx="19">
                  <c:v>45.914200000000001</c:v>
                </c:pt>
                <c:pt idx="20">
                  <c:v>49.160600000000002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F9-4281-8C8D-5926CD3ACCE1}"/>
            </c:ext>
          </c:extLst>
        </c:ser>
        <c:ser>
          <c:idx val="0"/>
          <c:order val="5"/>
          <c:tx>
            <c:strRef>
              <c:f>'Run 1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(Alex)'!$H$107:$H$127</c:f>
              <c:numCache>
                <c:formatCode>General</c:formatCode>
                <c:ptCount val="21"/>
                <c:pt idx="0">
                  <c:v>3.6918903985734733E-2</c:v>
                </c:pt>
                <c:pt idx="1">
                  <c:v>4.0635909284978775E-2</c:v>
                </c:pt>
                <c:pt idx="2">
                  <c:v>5.1987844388075438E-2</c:v>
                </c:pt>
                <c:pt idx="3">
                  <c:v>6.2234723861667125E-2</c:v>
                </c:pt>
                <c:pt idx="4">
                  <c:v>7.2230454328553129E-2</c:v>
                </c:pt>
                <c:pt idx="5">
                  <c:v>8.124670366928699E-2</c:v>
                </c:pt>
                <c:pt idx="6">
                  <c:v>8.9559735791244932E-2</c:v>
                </c:pt>
                <c:pt idx="7">
                  <c:v>9.7295125197779844E-2</c:v>
                </c:pt>
                <c:pt idx="8">
                  <c:v>0.10362408016676293</c:v>
                </c:pt>
                <c:pt idx="9">
                  <c:v>0.11103297586458045</c:v>
                </c:pt>
                <c:pt idx="10">
                  <c:v>0.11783911394630434</c:v>
                </c:pt>
                <c:pt idx="11">
                  <c:v>0.1241178391139463</c:v>
                </c:pt>
                <c:pt idx="12">
                  <c:v>0.1326317904412688</c:v>
                </c:pt>
                <c:pt idx="13">
                  <c:v>0.1435818871336364</c:v>
                </c:pt>
                <c:pt idx="14">
                  <c:v>0.15586307356154405</c:v>
                </c:pt>
                <c:pt idx="15">
                  <c:v>0.17005299244041489</c:v>
                </c:pt>
                <c:pt idx="16">
                  <c:v>0.19232990933520858</c:v>
                </c:pt>
                <c:pt idx="17">
                  <c:v>0.22284451364994851</c:v>
                </c:pt>
                <c:pt idx="18">
                  <c:v>0.2768917798930105</c:v>
                </c:pt>
                <c:pt idx="19">
                  <c:v>0.39452997463395034</c:v>
                </c:pt>
                <c:pt idx="20">
                  <c:v>0.72155109626541425</c:v>
                </c:pt>
              </c:numCache>
            </c:numRef>
          </c:xVal>
          <c:yVal>
            <c:numRef>
              <c:f>'Run 1 (Alex)'!$F$107:$F$127</c:f>
              <c:numCache>
                <c:formatCode>General</c:formatCode>
                <c:ptCount val="21"/>
                <c:pt idx="0">
                  <c:v>5.0739000000000001</c:v>
                </c:pt>
                <c:pt idx="1">
                  <c:v>5.0956000000000001</c:v>
                </c:pt>
                <c:pt idx="2">
                  <c:v>5.1163999999999996</c:v>
                </c:pt>
                <c:pt idx="3">
                  <c:v>5.3014000000000001</c:v>
                </c:pt>
                <c:pt idx="4">
                  <c:v>5.0888999999999998</c:v>
                </c:pt>
                <c:pt idx="5">
                  <c:v>5.1764000000000001</c:v>
                </c:pt>
                <c:pt idx="6">
                  <c:v>5.1463000000000001</c:v>
                </c:pt>
                <c:pt idx="7">
                  <c:v>5.1696999999999997</c:v>
                </c:pt>
                <c:pt idx="8">
                  <c:v>5.1639999999999997</c:v>
                </c:pt>
                <c:pt idx="9">
                  <c:v>5.3623000000000003</c:v>
                </c:pt>
                <c:pt idx="10">
                  <c:v>5.2469999999999999</c:v>
                </c:pt>
                <c:pt idx="11">
                  <c:v>5.2230999999999996</c:v>
                </c:pt>
                <c:pt idx="12">
                  <c:v>5.21</c:v>
                </c:pt>
                <c:pt idx="13">
                  <c:v>5.2008999999999999</c:v>
                </c:pt>
                <c:pt idx="14">
                  <c:v>5.1920000000000002</c:v>
                </c:pt>
                <c:pt idx="15">
                  <c:v>5.2819000000000003</c:v>
                </c:pt>
                <c:pt idx="16">
                  <c:v>5.2994000000000003</c:v>
                </c:pt>
                <c:pt idx="17">
                  <c:v>5.3160999999999996</c:v>
                </c:pt>
                <c:pt idx="18">
                  <c:v>5.4025999999999996</c:v>
                </c:pt>
                <c:pt idx="19">
                  <c:v>5.7084000000000001</c:v>
                </c:pt>
                <c:pt idx="20">
                  <c:v>6.2565999999999997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F9-4281-8C8D-5926CD3ACCE1}"/>
            </c:ext>
          </c:extLst>
        </c:ser>
        <c:ser>
          <c:idx val="6"/>
          <c:order val="6"/>
          <c:tx>
            <c:strRef>
              <c:f>'Run 1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(Alex)'!$H$128:$H$148</c:f>
              <c:numCache>
                <c:formatCode>General</c:formatCode>
                <c:ptCount val="21"/>
                <c:pt idx="0">
                  <c:v>0.26631116687578416</c:v>
                </c:pt>
                <c:pt idx="1">
                  <c:v>0.30426599749058975</c:v>
                </c:pt>
                <c:pt idx="2">
                  <c:v>0.37536595566708486</c:v>
                </c:pt>
                <c:pt idx="3">
                  <c:v>0.44332915098285236</c:v>
                </c:pt>
                <c:pt idx="4">
                  <c:v>0.51118778753659555</c:v>
                </c:pt>
                <c:pt idx="5">
                  <c:v>0.56974069427017981</c:v>
                </c:pt>
                <c:pt idx="6">
                  <c:v>0.61585110832287748</c:v>
                </c:pt>
                <c:pt idx="7">
                  <c:v>0.6856963613550815</c:v>
                </c:pt>
                <c:pt idx="8">
                  <c:v>0.73222501045587618</c:v>
                </c:pt>
                <c:pt idx="9">
                  <c:v>0.76850690087829354</c:v>
                </c:pt>
                <c:pt idx="10">
                  <c:v>0.79182350480970309</c:v>
                </c:pt>
                <c:pt idx="11">
                  <c:v>0.81827687160184026</c:v>
                </c:pt>
                <c:pt idx="12">
                  <c:v>0.91750313676286077</c:v>
                </c:pt>
                <c:pt idx="13">
                  <c:v>0.99613132580510244</c:v>
                </c:pt>
                <c:pt idx="14">
                  <c:v>1.0350271852781263</c:v>
                </c:pt>
                <c:pt idx="15">
                  <c:v>1.0828105395232122</c:v>
                </c:pt>
                <c:pt idx="16">
                  <c:v>1.1652028439983271</c:v>
                </c:pt>
                <c:pt idx="17">
                  <c:v>1.2526139690506064</c:v>
                </c:pt>
                <c:pt idx="18">
                  <c:v>1.5104558762024258</c:v>
                </c:pt>
                <c:pt idx="19">
                  <c:v>1.9972814721873693</c:v>
                </c:pt>
                <c:pt idx="20">
                  <c:v>3.3588456712672521</c:v>
                </c:pt>
              </c:numCache>
            </c:numRef>
          </c:xVal>
          <c:yVal>
            <c:numRef>
              <c:f>'Run 1 (Alex)'!$F$128:$F$148</c:f>
              <c:numCache>
                <c:formatCode>General</c:formatCode>
                <c:ptCount val="21"/>
                <c:pt idx="0">
                  <c:v>5.4141000000000004</c:v>
                </c:pt>
                <c:pt idx="1">
                  <c:v>5.4066000000000001</c:v>
                </c:pt>
                <c:pt idx="2">
                  <c:v>5.4455</c:v>
                </c:pt>
                <c:pt idx="3">
                  <c:v>5.4753999999999996</c:v>
                </c:pt>
                <c:pt idx="4">
                  <c:v>5.4771000000000001</c:v>
                </c:pt>
                <c:pt idx="5">
                  <c:v>5.7720000000000002</c:v>
                </c:pt>
                <c:pt idx="6">
                  <c:v>5.524</c:v>
                </c:pt>
                <c:pt idx="7">
                  <c:v>5.5319000000000003</c:v>
                </c:pt>
                <c:pt idx="8">
                  <c:v>5.5867000000000004</c:v>
                </c:pt>
                <c:pt idx="9">
                  <c:v>5.5622999999999996</c:v>
                </c:pt>
                <c:pt idx="10">
                  <c:v>5.6154000000000002</c:v>
                </c:pt>
                <c:pt idx="11">
                  <c:v>5.6397000000000004</c:v>
                </c:pt>
                <c:pt idx="12">
                  <c:v>5.6414</c:v>
                </c:pt>
                <c:pt idx="13">
                  <c:v>5.6649000000000003</c:v>
                </c:pt>
                <c:pt idx="14">
                  <c:v>5.7149000000000001</c:v>
                </c:pt>
                <c:pt idx="15">
                  <c:v>5.6680999999999999</c:v>
                </c:pt>
                <c:pt idx="16">
                  <c:v>5.9241999999999999</c:v>
                </c:pt>
                <c:pt idx="17">
                  <c:v>5.6835000000000004</c:v>
                </c:pt>
                <c:pt idx="18">
                  <c:v>5.7507999999999999</c:v>
                </c:pt>
                <c:pt idx="19">
                  <c:v>5.7507999999999999</c:v>
                </c:pt>
                <c:pt idx="20">
                  <c:v>6.2404000000000002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F9-4281-8C8D-5926CD3ACCE1}"/>
            </c:ext>
          </c:extLst>
        </c:ser>
        <c:ser>
          <c:idx val="7"/>
          <c:order val="7"/>
          <c:tx>
            <c:strRef>
              <c:f>'Run 1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(Alex)'!$H$149:$H$169</c:f>
              <c:numCache>
                <c:formatCode>General</c:formatCode>
                <c:ptCount val="21"/>
                <c:pt idx="0">
                  <c:v>3.5555364935719411E-2</c:v>
                </c:pt>
                <c:pt idx="1">
                  <c:v>4.2154981075024391E-2</c:v>
                </c:pt>
                <c:pt idx="2">
                  <c:v>5.6110140141320777E-2</c:v>
                </c:pt>
                <c:pt idx="3">
                  <c:v>6.8489111437547587E-2</c:v>
                </c:pt>
                <c:pt idx="4">
                  <c:v>7.9243644317682257E-2</c:v>
                </c:pt>
                <c:pt idx="5">
                  <c:v>8.9617533212528008E-2</c:v>
                </c:pt>
                <c:pt idx="6">
                  <c:v>9.9519638012931178E-2</c:v>
                </c:pt>
                <c:pt idx="7">
                  <c:v>0.10894995871889174</c:v>
                </c:pt>
                <c:pt idx="8">
                  <c:v>0.11631086282877454</c:v>
                </c:pt>
                <c:pt idx="9">
                  <c:v>0.12440088781188681</c:v>
                </c:pt>
                <c:pt idx="10">
                  <c:v>0.13139187030226349</c:v>
                </c:pt>
                <c:pt idx="11">
                  <c:v>0.13863482838853564</c:v>
                </c:pt>
                <c:pt idx="12">
                  <c:v>0.14768986629209871</c:v>
                </c:pt>
                <c:pt idx="13">
                  <c:v>0.15913063058233168</c:v>
                </c:pt>
                <c:pt idx="14">
                  <c:v>0.17207788726504616</c:v>
                </c:pt>
                <c:pt idx="15">
                  <c:v>0.18726611839636298</c:v>
                </c:pt>
                <c:pt idx="16">
                  <c:v>0.21040498375561584</c:v>
                </c:pt>
                <c:pt idx="17">
                  <c:v>0.2428133343340875</c:v>
                </c:pt>
                <c:pt idx="18">
                  <c:v>0.30448838231667436</c:v>
                </c:pt>
                <c:pt idx="19">
                  <c:v>0.43604108810567965</c:v>
                </c:pt>
                <c:pt idx="20">
                  <c:v>0.79827477134554969</c:v>
                </c:pt>
              </c:numCache>
            </c:numRef>
          </c:xVal>
          <c:yVal>
            <c:numRef>
              <c:f>'Run 1 (Alex)'!$F$149:$F$169</c:f>
              <c:numCache>
                <c:formatCode>General</c:formatCode>
                <c:ptCount val="21"/>
                <c:pt idx="0">
                  <c:v>20.136800000000001</c:v>
                </c:pt>
                <c:pt idx="1">
                  <c:v>20.340800000000002</c:v>
                </c:pt>
                <c:pt idx="2">
                  <c:v>22.113900000000001</c:v>
                </c:pt>
                <c:pt idx="3">
                  <c:v>21.053699999999999</c:v>
                </c:pt>
                <c:pt idx="4">
                  <c:v>20.963000000000001</c:v>
                </c:pt>
                <c:pt idx="5">
                  <c:v>20.8733</c:v>
                </c:pt>
                <c:pt idx="6">
                  <c:v>20.972300000000001</c:v>
                </c:pt>
                <c:pt idx="7">
                  <c:v>20.9053</c:v>
                </c:pt>
                <c:pt idx="8">
                  <c:v>20.884899999999998</c:v>
                </c:pt>
                <c:pt idx="9">
                  <c:v>21.567499999999999</c:v>
                </c:pt>
                <c:pt idx="10">
                  <c:v>20.912700000000001</c:v>
                </c:pt>
                <c:pt idx="11">
                  <c:v>20.821100000000001</c:v>
                </c:pt>
                <c:pt idx="12">
                  <c:v>21.0656</c:v>
                </c:pt>
                <c:pt idx="13">
                  <c:v>21.103200000000001</c:v>
                </c:pt>
                <c:pt idx="14">
                  <c:v>21.011099999999999</c:v>
                </c:pt>
                <c:pt idx="15">
                  <c:v>21.158200000000001</c:v>
                </c:pt>
                <c:pt idx="16">
                  <c:v>21.216100000000001</c:v>
                </c:pt>
                <c:pt idx="17">
                  <c:v>21.485399999999998</c:v>
                </c:pt>
                <c:pt idx="18">
                  <c:v>21.705400000000001</c:v>
                </c:pt>
                <c:pt idx="19">
                  <c:v>22.144600000000001</c:v>
                </c:pt>
                <c:pt idx="20">
                  <c:v>25.186599999999999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F9-4281-8C8D-5926CD3ACCE1}"/>
            </c:ext>
          </c:extLst>
        </c:ser>
        <c:ser>
          <c:idx val="8"/>
          <c:order val="8"/>
          <c:tx>
            <c:strRef>
              <c:f>'Run 1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(Alex)'!$H$170:$H$190</c:f>
              <c:numCache>
                <c:formatCode>General</c:formatCode>
                <c:ptCount val="21"/>
                <c:pt idx="0">
                  <c:v>3.1211126387758723E-2</c:v>
                </c:pt>
                <c:pt idx="1">
                  <c:v>3.7683436684530988E-2</c:v>
                </c:pt>
                <c:pt idx="2">
                  <c:v>5.0473731960305655E-2</c:v>
                </c:pt>
                <c:pt idx="3">
                  <c:v>6.1744156682286257E-2</c:v>
                </c:pt>
                <c:pt idx="4">
                  <c:v>7.2121365171114032E-2</c:v>
                </c:pt>
                <c:pt idx="5">
                  <c:v>8.1867242814519667E-2</c:v>
                </c:pt>
                <c:pt idx="6">
                  <c:v>9.1009848761188589E-2</c:v>
                </c:pt>
                <c:pt idx="7">
                  <c:v>9.9736244002356964E-2</c:v>
                </c:pt>
                <c:pt idx="8">
                  <c:v>0.10696615131363579</c:v>
                </c:pt>
                <c:pt idx="9">
                  <c:v>0.11497703826332575</c:v>
                </c:pt>
                <c:pt idx="10">
                  <c:v>0.12228176997109907</c:v>
                </c:pt>
                <c:pt idx="11">
                  <c:v>0.1298109748683558</c:v>
                </c:pt>
                <c:pt idx="12">
                  <c:v>0.13910322960801369</c:v>
                </c:pt>
                <c:pt idx="13">
                  <c:v>0.15083663028330388</c:v>
                </c:pt>
                <c:pt idx="14">
                  <c:v>0.16454820094091679</c:v>
                </c:pt>
                <c:pt idx="15">
                  <c:v>0.18048579739424037</c:v>
                </c:pt>
                <c:pt idx="16">
                  <c:v>0.20544441014992937</c:v>
                </c:pt>
                <c:pt idx="17">
                  <c:v>0.23962980629834355</c:v>
                </c:pt>
                <c:pt idx="18">
                  <c:v>0.3008829278786348</c:v>
                </c:pt>
                <c:pt idx="19">
                  <c:v>0.43238212819289729</c:v>
                </c:pt>
                <c:pt idx="20">
                  <c:v>0.76530860387029187</c:v>
                </c:pt>
              </c:numCache>
            </c:numRef>
          </c:xVal>
          <c:yVal>
            <c:numRef>
              <c:f>'Run 1 (Alex)'!$F$170:$F$190</c:f>
              <c:numCache>
                <c:formatCode>General</c:formatCode>
                <c:ptCount val="21"/>
                <c:pt idx="0">
                  <c:v>20.3201</c:v>
                </c:pt>
                <c:pt idx="1">
                  <c:v>20.158999999999999</c:v>
                </c:pt>
                <c:pt idx="2">
                  <c:v>20.243400000000001</c:v>
                </c:pt>
                <c:pt idx="3">
                  <c:v>20.409400000000002</c:v>
                </c:pt>
                <c:pt idx="4">
                  <c:v>20.394200000000001</c:v>
                </c:pt>
                <c:pt idx="5">
                  <c:v>20.6251</c:v>
                </c:pt>
                <c:pt idx="6">
                  <c:v>20.572900000000001</c:v>
                </c:pt>
                <c:pt idx="7">
                  <c:v>20.913599999999999</c:v>
                </c:pt>
                <c:pt idx="8">
                  <c:v>21.147400000000001</c:v>
                </c:pt>
                <c:pt idx="9">
                  <c:v>20.955100000000002</c:v>
                </c:pt>
                <c:pt idx="10">
                  <c:v>20.979900000000001</c:v>
                </c:pt>
                <c:pt idx="11">
                  <c:v>20.925000000000001</c:v>
                </c:pt>
                <c:pt idx="12">
                  <c:v>20.871500000000001</c:v>
                </c:pt>
                <c:pt idx="13">
                  <c:v>21.064</c:v>
                </c:pt>
                <c:pt idx="14">
                  <c:v>21.059200000000001</c:v>
                </c:pt>
                <c:pt idx="15">
                  <c:v>21.320399999999999</c:v>
                </c:pt>
                <c:pt idx="16">
                  <c:v>21.4145</c:v>
                </c:pt>
                <c:pt idx="17">
                  <c:v>21.580200000000001</c:v>
                </c:pt>
                <c:pt idx="18">
                  <c:v>22.030100000000001</c:v>
                </c:pt>
                <c:pt idx="19">
                  <c:v>22.694299999999998</c:v>
                </c:pt>
                <c:pt idx="20">
                  <c:v>25.3765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F9-4281-8C8D-5926CD3ACCE1}"/>
            </c:ext>
          </c:extLst>
        </c:ser>
        <c:ser>
          <c:idx val="9"/>
          <c:order val="9"/>
          <c:tx>
            <c:strRef>
              <c:f>'Run 1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(Alex)'!$H$191:$H$211</c:f>
              <c:numCache>
                <c:formatCode>General</c:formatCode>
                <c:ptCount val="21"/>
                <c:pt idx="0">
                  <c:v>3.4358211600596864E-2</c:v>
                </c:pt>
                <c:pt idx="1">
                  <c:v>3.5802478006672842E-2</c:v>
                </c:pt>
                <c:pt idx="2">
                  <c:v>3.9807143729656318E-2</c:v>
                </c:pt>
                <c:pt idx="3">
                  <c:v>4.3989049442771842E-2</c:v>
                </c:pt>
                <c:pt idx="4">
                  <c:v>4.8139818400864162E-2</c:v>
                </c:pt>
                <c:pt idx="5">
                  <c:v>5.2338490058992174E-2</c:v>
                </c:pt>
                <c:pt idx="6">
                  <c:v>5.6403034157020263E-2</c:v>
                </c:pt>
                <c:pt idx="7">
                  <c:v>6.0366982584973396E-2</c:v>
                </c:pt>
                <c:pt idx="8">
                  <c:v>6.3856694282573234E-2</c:v>
                </c:pt>
                <c:pt idx="9">
                  <c:v>6.8191888635802944E-2</c:v>
                </c:pt>
                <c:pt idx="10">
                  <c:v>7.1760639788461672E-2</c:v>
                </c:pt>
                <c:pt idx="11">
                  <c:v>7.56048314663256E-2</c:v>
                </c:pt>
                <c:pt idx="12">
                  <c:v>8.048132632995858E-2</c:v>
                </c:pt>
                <c:pt idx="13">
                  <c:v>8.7640384850292088E-2</c:v>
                </c:pt>
                <c:pt idx="14">
                  <c:v>9.57479168313322E-2</c:v>
                </c:pt>
                <c:pt idx="15">
                  <c:v>0.10592484545391401</c:v>
                </c:pt>
                <c:pt idx="16">
                  <c:v>0.12264288776636893</c:v>
                </c:pt>
                <c:pt idx="17">
                  <c:v>0.14651040805915025</c:v>
                </c:pt>
                <c:pt idx="18">
                  <c:v>0.19277244061861548</c:v>
                </c:pt>
                <c:pt idx="19">
                  <c:v>0.29984216060338242</c:v>
                </c:pt>
                <c:pt idx="20">
                  <c:v>0.62135071243290618</c:v>
                </c:pt>
              </c:numCache>
            </c:numRef>
          </c:xVal>
          <c:yVal>
            <c:numRef>
              <c:f>'Run 1 (Alex)'!$F$191:$F$211</c:f>
              <c:numCache>
                <c:formatCode>General</c:formatCode>
                <c:ptCount val="21"/>
                <c:pt idx="0">
                  <c:v>41.241500000000002</c:v>
                </c:pt>
                <c:pt idx="1">
                  <c:v>40.988700000000001</c:v>
                </c:pt>
                <c:pt idx="2">
                  <c:v>41.557299999999998</c:v>
                </c:pt>
                <c:pt idx="3">
                  <c:v>41.509500000000003</c:v>
                </c:pt>
                <c:pt idx="4">
                  <c:v>41.653599999999997</c:v>
                </c:pt>
                <c:pt idx="5">
                  <c:v>41.517699999999998</c:v>
                </c:pt>
                <c:pt idx="6">
                  <c:v>41.7883</c:v>
                </c:pt>
                <c:pt idx="7">
                  <c:v>41.679099999999998</c:v>
                </c:pt>
                <c:pt idx="8">
                  <c:v>41.653700000000001</c:v>
                </c:pt>
                <c:pt idx="9">
                  <c:v>41.921100000000003</c:v>
                </c:pt>
                <c:pt idx="10">
                  <c:v>42.048999999999999</c:v>
                </c:pt>
                <c:pt idx="11">
                  <c:v>42.027900000000002</c:v>
                </c:pt>
                <c:pt idx="12">
                  <c:v>41.968200000000003</c:v>
                </c:pt>
                <c:pt idx="13">
                  <c:v>42.286799999999999</c:v>
                </c:pt>
                <c:pt idx="14">
                  <c:v>42.219900000000003</c:v>
                </c:pt>
                <c:pt idx="15">
                  <c:v>42.351999999999997</c:v>
                </c:pt>
                <c:pt idx="16">
                  <c:v>44.264099999999999</c:v>
                </c:pt>
                <c:pt idx="17">
                  <c:v>44.177799999999998</c:v>
                </c:pt>
                <c:pt idx="18">
                  <c:v>43.796599999999998</c:v>
                </c:pt>
                <c:pt idx="19">
                  <c:v>45.235100000000003</c:v>
                </c:pt>
                <c:pt idx="20">
                  <c:v>50.990499999999997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F9-4281-8C8D-5926CD3ACCE1}"/>
            </c:ext>
          </c:extLst>
        </c:ser>
        <c:ser>
          <c:idx val="10"/>
          <c:order val="10"/>
          <c:tx>
            <c:strRef>
              <c:f>'Run 1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(Alex)'!$H$212:$H$232</c:f>
              <c:numCache>
                <c:formatCode>General</c:formatCode>
                <c:ptCount val="21"/>
                <c:pt idx="0">
                  <c:v>0.11209485322298172</c:v>
                </c:pt>
                <c:pt idx="1">
                  <c:v>0.13692396508982241</c:v>
                </c:pt>
                <c:pt idx="2">
                  <c:v>0.19604228420067046</c:v>
                </c:pt>
                <c:pt idx="3">
                  <c:v>0.25134260584391332</c:v>
                </c:pt>
                <c:pt idx="4">
                  <c:v>0.30184496116509568</c:v>
                </c:pt>
                <c:pt idx="5">
                  <c:v>0.35085310654978197</c:v>
                </c:pt>
                <c:pt idx="6">
                  <c:v>0.3928850380101781</c:v>
                </c:pt>
                <c:pt idx="7">
                  <c:v>0.43848269772812171</c:v>
                </c:pt>
                <c:pt idx="8">
                  <c:v>0.46754702152535549</c:v>
                </c:pt>
                <c:pt idx="9">
                  <c:v>0.52127551193669985</c:v>
                </c:pt>
                <c:pt idx="10">
                  <c:v>0.54674499949061028</c:v>
                </c:pt>
                <c:pt idx="11">
                  <c:v>0.56967724095105488</c:v>
                </c:pt>
                <c:pt idx="12">
                  <c:v>0.62798053646017793</c:v>
                </c:pt>
                <c:pt idx="13">
                  <c:v>0.69922718297764985</c:v>
                </c:pt>
                <c:pt idx="14">
                  <c:v>0.74062359008193901</c:v>
                </c:pt>
                <c:pt idx="15">
                  <c:v>0.7889040358222279</c:v>
                </c:pt>
                <c:pt idx="16">
                  <c:v>0.95779342062494843</c:v>
                </c:pt>
                <c:pt idx="17">
                  <c:v>1.146287033847736</c:v>
                </c:pt>
                <c:pt idx="18">
                  <c:v>1.3541762682591969</c:v>
                </c:pt>
                <c:pt idx="19">
                  <c:v>1.9089453691620295</c:v>
                </c:pt>
                <c:pt idx="20">
                  <c:v>3.18509283021797</c:v>
                </c:pt>
              </c:numCache>
            </c:numRef>
          </c:xVal>
          <c:yVal>
            <c:numRef>
              <c:f>'Run 1 (Alex)'!$F$212:$F$232</c:f>
              <c:numCache>
                <c:formatCode>General</c:formatCode>
                <c:ptCount val="21"/>
                <c:pt idx="0">
                  <c:v>43.361800000000002</c:v>
                </c:pt>
                <c:pt idx="1">
                  <c:v>43.664900000000003</c:v>
                </c:pt>
                <c:pt idx="2">
                  <c:v>44.121899999999997</c:v>
                </c:pt>
                <c:pt idx="3">
                  <c:v>44.716299999999997</c:v>
                </c:pt>
                <c:pt idx="4">
                  <c:v>45.023800000000001</c:v>
                </c:pt>
                <c:pt idx="5">
                  <c:v>45.693100000000001</c:v>
                </c:pt>
                <c:pt idx="6">
                  <c:v>45.783200000000001</c:v>
                </c:pt>
                <c:pt idx="7">
                  <c:v>46.142000000000003</c:v>
                </c:pt>
                <c:pt idx="8">
                  <c:v>46.228499999999997</c:v>
                </c:pt>
                <c:pt idx="9">
                  <c:v>46.680599999999998</c:v>
                </c:pt>
                <c:pt idx="10">
                  <c:v>46.712800000000001</c:v>
                </c:pt>
                <c:pt idx="11">
                  <c:v>47.076099999999997</c:v>
                </c:pt>
                <c:pt idx="12">
                  <c:v>47.416200000000003</c:v>
                </c:pt>
                <c:pt idx="13">
                  <c:v>48.0396</c:v>
                </c:pt>
                <c:pt idx="14">
                  <c:v>48.2286</c:v>
                </c:pt>
                <c:pt idx="15">
                  <c:v>48.295999999999999</c:v>
                </c:pt>
                <c:pt idx="16">
                  <c:v>49.577399999999997</c:v>
                </c:pt>
                <c:pt idx="17">
                  <c:v>51.281799999999997</c:v>
                </c:pt>
                <c:pt idx="18">
                  <c:v>51.878700000000002</c:v>
                </c:pt>
                <c:pt idx="19">
                  <c:v>53.690899999999999</c:v>
                </c:pt>
                <c:pt idx="20">
                  <c:v>60.671399999999998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CF9-4281-8C8D-5926CD3ACCE1}"/>
            </c:ext>
          </c:extLst>
        </c:ser>
        <c:ser>
          <c:idx val="11"/>
          <c:order val="11"/>
          <c:tx>
            <c:strRef>
              <c:f>'Run 1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(Alex)'!$H$233:$H$253</c:f>
              <c:numCache>
                <c:formatCode>General</c:formatCode>
                <c:ptCount val="21"/>
                <c:pt idx="0">
                  <c:v>9.4763221569305209E-2</c:v>
                </c:pt>
                <c:pt idx="1">
                  <c:v>0.10565157276183892</c:v>
                </c:pt>
                <c:pt idx="2">
                  <c:v>0.12706533010715518</c:v>
                </c:pt>
                <c:pt idx="3">
                  <c:v>0.14645696508814379</c:v>
                </c:pt>
                <c:pt idx="4">
                  <c:v>0.16354994815070859</c:v>
                </c:pt>
                <c:pt idx="5">
                  <c:v>0.18071206360179745</c:v>
                </c:pt>
                <c:pt idx="6">
                  <c:v>0.19662979605945383</c:v>
                </c:pt>
                <c:pt idx="7">
                  <c:v>0.21180435534047701</c:v>
                </c:pt>
                <c:pt idx="8">
                  <c:v>0.22533702039405459</c:v>
                </c:pt>
                <c:pt idx="9">
                  <c:v>0.24128931904597306</c:v>
                </c:pt>
                <c:pt idx="10">
                  <c:v>0.25466643622537155</c:v>
                </c:pt>
                <c:pt idx="11">
                  <c:v>0.2685966125129623</c:v>
                </c:pt>
                <c:pt idx="12">
                  <c:v>0.28665744901486345</c:v>
                </c:pt>
                <c:pt idx="13">
                  <c:v>0.31275492568268232</c:v>
                </c:pt>
                <c:pt idx="14">
                  <c:v>0.3426201175250605</c:v>
                </c:pt>
                <c:pt idx="15">
                  <c:v>0.37881092291738677</c:v>
                </c:pt>
                <c:pt idx="16">
                  <c:v>0.44021776702385068</c:v>
                </c:pt>
                <c:pt idx="17">
                  <c:v>0.53323539578292423</c:v>
                </c:pt>
                <c:pt idx="18">
                  <c:v>0.72582094711372269</c:v>
                </c:pt>
                <c:pt idx="19">
                  <c:v>1.2007777393708952</c:v>
                </c:pt>
                <c:pt idx="20">
                  <c:v>2.691289319045973</c:v>
                </c:pt>
              </c:numCache>
            </c:numRef>
          </c:xVal>
          <c:yVal>
            <c:numRef>
              <c:f>'Run 1 (Alex)'!$F$233:$F$253</c:f>
              <c:numCache>
                <c:formatCode>General</c:formatCode>
                <c:ptCount val="21"/>
                <c:pt idx="0">
                  <c:v>20.226400000000002</c:v>
                </c:pt>
                <c:pt idx="1">
                  <c:v>20.070399999999999</c:v>
                </c:pt>
                <c:pt idx="2">
                  <c:v>20.122599999999998</c:v>
                </c:pt>
                <c:pt idx="3">
                  <c:v>20.186499999999999</c:v>
                </c:pt>
                <c:pt idx="4">
                  <c:v>20.309999999999999</c:v>
                </c:pt>
                <c:pt idx="5">
                  <c:v>20.372900000000001</c:v>
                </c:pt>
                <c:pt idx="6">
                  <c:v>20.472799999999999</c:v>
                </c:pt>
                <c:pt idx="7">
                  <c:v>20.303599999999999</c:v>
                </c:pt>
                <c:pt idx="8">
                  <c:v>20.463000000000001</c:v>
                </c:pt>
                <c:pt idx="9">
                  <c:v>20.496099999999998</c:v>
                </c:pt>
                <c:pt idx="10">
                  <c:v>20.490200000000002</c:v>
                </c:pt>
                <c:pt idx="11">
                  <c:v>20.461200000000002</c:v>
                </c:pt>
                <c:pt idx="12">
                  <c:v>20.527699999999999</c:v>
                </c:pt>
                <c:pt idx="13">
                  <c:v>20.5809</c:v>
                </c:pt>
                <c:pt idx="14">
                  <c:v>20.6128</c:v>
                </c:pt>
                <c:pt idx="15">
                  <c:v>20.7544</c:v>
                </c:pt>
                <c:pt idx="16">
                  <c:v>20.833400000000001</c:v>
                </c:pt>
                <c:pt idx="17">
                  <c:v>20.969799999999999</c:v>
                </c:pt>
                <c:pt idx="18">
                  <c:v>21.229399999999998</c:v>
                </c:pt>
                <c:pt idx="19">
                  <c:v>22.2484</c:v>
                </c:pt>
                <c:pt idx="20">
                  <c:v>26.3109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CF9-4281-8C8D-5926CD3ACCE1}"/>
            </c:ext>
          </c:extLst>
        </c:ser>
        <c:ser>
          <c:idx val="12"/>
          <c:order val="12"/>
          <c:tx>
            <c:strRef>
              <c:f>'Run 1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(Alex)'!$H$254:$H$274</c:f>
              <c:numCache>
                <c:formatCode>General</c:formatCode>
                <c:ptCount val="21"/>
                <c:pt idx="0">
                  <c:v>0.21991327363856505</c:v>
                </c:pt>
                <c:pt idx="1">
                  <c:v>0.24981697358788085</c:v>
                </c:pt>
                <c:pt idx="2">
                  <c:v>0.31170805879371516</c:v>
                </c:pt>
                <c:pt idx="3">
                  <c:v>0.36957256293292789</c:v>
                </c:pt>
                <c:pt idx="4">
                  <c:v>0.42723996170524298</c:v>
                </c:pt>
                <c:pt idx="5">
                  <c:v>0.48696288787520414</c:v>
                </c:pt>
                <c:pt idx="6">
                  <c:v>0.52905896266261188</c:v>
                </c:pt>
                <c:pt idx="7">
                  <c:v>0.57605451371290206</c:v>
                </c:pt>
                <c:pt idx="8">
                  <c:v>0.61001295263839606</c:v>
                </c:pt>
                <c:pt idx="9">
                  <c:v>0.65334797544630285</c:v>
                </c:pt>
                <c:pt idx="10">
                  <c:v>0.68401193895365209</c:v>
                </c:pt>
                <c:pt idx="11">
                  <c:v>0.72058906346792817</c:v>
                </c:pt>
                <c:pt idx="12">
                  <c:v>0.77465224981697367</c:v>
                </c:pt>
                <c:pt idx="13">
                  <c:v>0.84569465562876611</c:v>
                </c:pt>
                <c:pt idx="14">
                  <c:v>0.89598468209720106</c:v>
                </c:pt>
                <c:pt idx="15">
                  <c:v>0.96474629723489336</c:v>
                </c:pt>
                <c:pt idx="16">
                  <c:v>1.0755758292504365</c:v>
                </c:pt>
                <c:pt idx="17">
                  <c:v>1.1819282536464493</c:v>
                </c:pt>
                <c:pt idx="18">
                  <c:v>1.3660246663287718</c:v>
                </c:pt>
                <c:pt idx="19">
                  <c:v>1.7955735766176719</c:v>
                </c:pt>
                <c:pt idx="20">
                  <c:v>0.6803216715925493</c:v>
                </c:pt>
              </c:numCache>
            </c:numRef>
          </c:xVal>
          <c:yVal>
            <c:numRef>
              <c:f>'Run 1 (Alex)'!$F$254:$F$274</c:f>
              <c:numCache>
                <c:formatCode>General</c:formatCode>
                <c:ptCount val="21"/>
                <c:pt idx="0">
                  <c:v>20.764900000000001</c:v>
                </c:pt>
                <c:pt idx="1">
                  <c:v>20.6616</c:v>
                </c:pt>
                <c:pt idx="2">
                  <c:v>21.021000000000001</c:v>
                </c:pt>
                <c:pt idx="3">
                  <c:v>20.938099999999999</c:v>
                </c:pt>
                <c:pt idx="4">
                  <c:v>21.0731</c:v>
                </c:pt>
                <c:pt idx="5">
                  <c:v>21.188500000000001</c:v>
                </c:pt>
                <c:pt idx="6">
                  <c:v>21.019200000000001</c:v>
                </c:pt>
                <c:pt idx="7">
                  <c:v>21.263999999999999</c:v>
                </c:pt>
                <c:pt idx="8">
                  <c:v>21.2944</c:v>
                </c:pt>
                <c:pt idx="9">
                  <c:v>21.295200000000001</c:v>
                </c:pt>
                <c:pt idx="10">
                  <c:v>21.522400000000001</c:v>
                </c:pt>
                <c:pt idx="11">
                  <c:v>21.534300000000002</c:v>
                </c:pt>
                <c:pt idx="12">
                  <c:v>21.406300000000002</c:v>
                </c:pt>
                <c:pt idx="13">
                  <c:v>21.530799999999999</c:v>
                </c:pt>
                <c:pt idx="14">
                  <c:v>21.608000000000001</c:v>
                </c:pt>
                <c:pt idx="15">
                  <c:v>21.648099999999999</c:v>
                </c:pt>
                <c:pt idx="16">
                  <c:v>21.832000000000001</c:v>
                </c:pt>
                <c:pt idx="17">
                  <c:v>21.6981</c:v>
                </c:pt>
                <c:pt idx="18">
                  <c:v>21.8124</c:v>
                </c:pt>
                <c:pt idx="19">
                  <c:v>21.900400000000001</c:v>
                </c:pt>
                <c:pt idx="20">
                  <c:v>12.929399999999999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CF9-4281-8C8D-5926CD3ACCE1}"/>
            </c:ext>
          </c:extLst>
        </c:ser>
        <c:ser>
          <c:idx val="13"/>
          <c:order val="13"/>
          <c:tx>
            <c:strRef>
              <c:f>'Run 1 (Alex)'!$A$274</c:f>
              <c:strCache>
                <c:ptCount val="1"/>
                <c:pt idx="0">
                  <c:v>Tanks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(Alex)'!$H$274:$H$295</c:f>
              <c:numCache>
                <c:formatCode>General</c:formatCode>
                <c:ptCount val="22"/>
                <c:pt idx="0">
                  <c:v>0.6803216715925493</c:v>
                </c:pt>
                <c:pt idx="1">
                  <c:v>2.6041308681009002E-2</c:v>
                </c:pt>
                <c:pt idx="2">
                  <c:v>2.8524297202556878E-2</c:v>
                </c:pt>
                <c:pt idx="3">
                  <c:v>3.4899305794212659E-2</c:v>
                </c:pt>
                <c:pt idx="4">
                  <c:v>4.1600797305656745E-2</c:v>
                </c:pt>
                <c:pt idx="5">
                  <c:v>4.7829747748986184E-2</c:v>
                </c:pt>
                <c:pt idx="6">
                  <c:v>5.3989964946044404E-2</c:v>
                </c:pt>
                <c:pt idx="7">
                  <c:v>5.9926799092721146E-2</c:v>
                </c:pt>
                <c:pt idx="8">
                  <c:v>6.5760533369991062E-2</c:v>
                </c:pt>
                <c:pt idx="9">
                  <c:v>7.1035810021307308E-2</c:v>
                </c:pt>
                <c:pt idx="10">
                  <c:v>7.6878135954361118E-2</c:v>
                </c:pt>
                <c:pt idx="11">
                  <c:v>8.2058904392054433E-2</c:v>
                </c:pt>
                <c:pt idx="12">
                  <c:v>8.7463055880129217E-2</c:v>
                </c:pt>
                <c:pt idx="13">
                  <c:v>9.4439480376658183E-2</c:v>
                </c:pt>
                <c:pt idx="14">
                  <c:v>0.10388171008316723</c:v>
                </c:pt>
                <c:pt idx="15">
                  <c:v>0.11523987902948656</c:v>
                </c:pt>
                <c:pt idx="16">
                  <c:v>0.12875455357756546</c:v>
                </c:pt>
                <c:pt idx="17">
                  <c:v>0.15015636813526703</c:v>
                </c:pt>
                <c:pt idx="18">
                  <c:v>0.18097463743212588</c:v>
                </c:pt>
                <c:pt idx="19">
                  <c:v>0.23755069076912502</c:v>
                </c:pt>
                <c:pt idx="20">
                  <c:v>0.35710358100213069</c:v>
                </c:pt>
                <c:pt idx="21">
                  <c:v>0.6803216715925493</c:v>
                </c:pt>
              </c:numCache>
            </c:numRef>
          </c:xVal>
          <c:yVal>
            <c:numRef>
              <c:f>'Run 1 (Alex)'!$F$274:$F$295</c:f>
              <c:numCache>
                <c:formatCode>General</c:formatCode>
                <c:ptCount val="22"/>
                <c:pt idx="0">
                  <c:v>12.929399999999999</c:v>
                </c:pt>
                <c:pt idx="1">
                  <c:v>10.1495</c:v>
                </c:pt>
                <c:pt idx="2">
                  <c:v>10.2774</c:v>
                </c:pt>
                <c:pt idx="3">
                  <c:v>10.2075</c:v>
                </c:pt>
                <c:pt idx="4">
                  <c:v>10.222099999999999</c:v>
                </c:pt>
                <c:pt idx="5">
                  <c:v>10.512</c:v>
                </c:pt>
                <c:pt idx="6">
                  <c:v>10.325100000000001</c:v>
                </c:pt>
                <c:pt idx="7">
                  <c:v>10.317500000000001</c:v>
                </c:pt>
                <c:pt idx="8">
                  <c:v>10.5304</c:v>
                </c:pt>
                <c:pt idx="9">
                  <c:v>10.337199999999999</c:v>
                </c:pt>
                <c:pt idx="10">
                  <c:v>10.3855</c:v>
                </c:pt>
                <c:pt idx="11">
                  <c:v>10.5015</c:v>
                </c:pt>
                <c:pt idx="12">
                  <c:v>10.667299999999999</c:v>
                </c:pt>
                <c:pt idx="13">
                  <c:v>10.420199999999999</c:v>
                </c:pt>
                <c:pt idx="14">
                  <c:v>10.5709</c:v>
                </c:pt>
                <c:pt idx="15">
                  <c:v>10.544700000000001</c:v>
                </c:pt>
                <c:pt idx="16">
                  <c:v>10.7797</c:v>
                </c:pt>
                <c:pt idx="17">
                  <c:v>12.6942</c:v>
                </c:pt>
                <c:pt idx="18">
                  <c:v>11.1668</c:v>
                </c:pt>
                <c:pt idx="19">
                  <c:v>11.6357</c:v>
                </c:pt>
                <c:pt idx="20">
                  <c:v>11.611499999999999</c:v>
                </c:pt>
                <c:pt idx="21">
                  <c:v>12.929399999999999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CF9-4281-8C8D-5926CD3ACCE1}"/>
            </c:ext>
          </c:extLst>
        </c:ser>
        <c:ser>
          <c:idx val="14"/>
          <c:order val="14"/>
          <c:tx>
            <c:strRef>
              <c:f>'Run 1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(Alex)'!$H$296:$H$316</c:f>
              <c:numCache>
                <c:formatCode>General</c:formatCode>
                <c:ptCount val="21"/>
                <c:pt idx="0">
                  <c:v>1.9797256304080201E-2</c:v>
                </c:pt>
                <c:pt idx="1">
                  <c:v>2.3113488169357547E-2</c:v>
                </c:pt>
                <c:pt idx="2">
                  <c:v>2.9952111962584894E-2</c:v>
                </c:pt>
                <c:pt idx="3">
                  <c:v>3.6431428218011319E-2</c:v>
                </c:pt>
                <c:pt idx="4">
                  <c:v>4.3458541211396529E-2</c:v>
                </c:pt>
                <c:pt idx="5">
                  <c:v>5.0574008517355731E-2</c:v>
                </c:pt>
                <c:pt idx="6">
                  <c:v>5.7465644898127478E-2</c:v>
                </c:pt>
                <c:pt idx="7">
                  <c:v>6.4410293866443619E-2</c:v>
                </c:pt>
                <c:pt idx="8">
                  <c:v>7.0383045396445798E-2</c:v>
                </c:pt>
                <c:pt idx="9">
                  <c:v>7.7486732127395139E-2</c:v>
                </c:pt>
                <c:pt idx="10">
                  <c:v>8.3677424295079836E-2</c:v>
                </c:pt>
                <c:pt idx="11">
                  <c:v>9.0315778313139472E-2</c:v>
                </c:pt>
                <c:pt idx="12">
                  <c:v>9.9003952382915816E-2</c:v>
                </c:pt>
                <c:pt idx="13">
                  <c:v>0.11020727921729859</c:v>
                </c:pt>
                <c:pt idx="14">
                  <c:v>0.12467971561691925</c:v>
                </c:pt>
                <c:pt idx="15">
                  <c:v>0.14204428318146209</c:v>
                </c:pt>
                <c:pt idx="16">
                  <c:v>0.16995835566734013</c:v>
                </c:pt>
                <c:pt idx="17">
                  <c:v>0.21033627651365661</c:v>
                </c:pt>
                <c:pt idx="18">
                  <c:v>0.28100794599784412</c:v>
                </c:pt>
                <c:pt idx="19">
                  <c:v>0.42476041255573682</c:v>
                </c:pt>
                <c:pt idx="20">
                  <c:v>0.7919609356132673</c:v>
                </c:pt>
              </c:numCache>
            </c:numRef>
          </c:xVal>
          <c:yVal>
            <c:numRef>
              <c:f>'Run 1 (Alex)'!$F$296:$F$316</c:f>
              <c:numCache>
                <c:formatCode>General</c:formatCode>
                <c:ptCount val="21"/>
                <c:pt idx="0">
                  <c:v>10.406599999999999</c:v>
                </c:pt>
                <c:pt idx="1">
                  <c:v>10.438499999999999</c:v>
                </c:pt>
                <c:pt idx="2">
                  <c:v>10.3489</c:v>
                </c:pt>
                <c:pt idx="3">
                  <c:v>10.4193</c:v>
                </c:pt>
                <c:pt idx="4">
                  <c:v>10.5219</c:v>
                </c:pt>
                <c:pt idx="5">
                  <c:v>10.464600000000001</c:v>
                </c:pt>
                <c:pt idx="6">
                  <c:v>10.5383</c:v>
                </c:pt>
                <c:pt idx="7">
                  <c:v>10.7254</c:v>
                </c:pt>
                <c:pt idx="8">
                  <c:v>10.5801</c:v>
                </c:pt>
                <c:pt idx="9">
                  <c:v>10.5787</c:v>
                </c:pt>
                <c:pt idx="10">
                  <c:v>10.689299999999999</c:v>
                </c:pt>
                <c:pt idx="11">
                  <c:v>10.680400000000001</c:v>
                </c:pt>
                <c:pt idx="12">
                  <c:v>10.895799999999999</c:v>
                </c:pt>
                <c:pt idx="13">
                  <c:v>10.841900000000001</c:v>
                </c:pt>
                <c:pt idx="14">
                  <c:v>10.8847</c:v>
                </c:pt>
                <c:pt idx="15">
                  <c:v>11.033099999999999</c:v>
                </c:pt>
                <c:pt idx="16">
                  <c:v>11.336600000000001</c:v>
                </c:pt>
                <c:pt idx="17">
                  <c:v>11.453799999999999</c:v>
                </c:pt>
                <c:pt idx="18">
                  <c:v>11.793799999999999</c:v>
                </c:pt>
                <c:pt idx="19">
                  <c:v>12.5784</c:v>
                </c:pt>
                <c:pt idx="20">
                  <c:v>14.661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CF9-4281-8C8D-5926CD3AC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1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1 (Alex)'!$H$2:$H$21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4.6756732834593799E-2</c:v>
                      </c:pt>
                      <c:pt idx="1">
                        <c:v>4.905151764323315E-2</c:v>
                      </c:pt>
                      <c:pt idx="2">
                        <c:v>5.5529943531817977E-2</c:v>
                      </c:pt>
                      <c:pt idx="3">
                        <c:v>6.2566000665893851E-2</c:v>
                      </c:pt>
                      <c:pt idx="4">
                        <c:v>6.978819747303576E-2</c:v>
                      </c:pt>
                      <c:pt idx="5">
                        <c:v>7.717858396663306E-2</c:v>
                      </c:pt>
                      <c:pt idx="6">
                        <c:v>8.4454236846753419E-2</c:v>
                      </c:pt>
                      <c:pt idx="7">
                        <c:v>9.1696184266122097E-2</c:v>
                      </c:pt>
                      <c:pt idx="8">
                        <c:v>9.804333329338194E-2</c:v>
                      </c:pt>
                      <c:pt idx="9">
                        <c:v>0.10542516681530269</c:v>
                      </c:pt>
                      <c:pt idx="10">
                        <c:v>0.11192964550577068</c:v>
                      </c:pt>
                      <c:pt idx="11">
                        <c:v>0.11846760457878837</c:v>
                      </c:pt>
                      <c:pt idx="12">
                        <c:v>0.12719444916639755</c:v>
                      </c:pt>
                      <c:pt idx="13">
                        <c:v>0.13795088017112245</c:v>
                      </c:pt>
                      <c:pt idx="14">
                        <c:v>0.15127455314802532</c:v>
                      </c:pt>
                      <c:pt idx="15">
                        <c:v>0.16585084258868965</c:v>
                      </c:pt>
                      <c:pt idx="16">
                        <c:v>0.18859718941472969</c:v>
                      </c:pt>
                      <c:pt idx="17">
                        <c:v>0.22137060133186648</c:v>
                      </c:pt>
                      <c:pt idx="18">
                        <c:v>0.27865953101242819</c:v>
                      </c:pt>
                      <c:pt idx="19">
                        <c:v>0.40446800488037066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1 (Alex)'!$F$2:$F$21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2252.6417999999999</c:v>
                      </c:pt>
                      <c:pt idx="1">
                        <c:v>2263.6936000000001</c:v>
                      </c:pt>
                      <c:pt idx="2">
                        <c:v>2320.6194999999998</c:v>
                      </c:pt>
                      <c:pt idx="3">
                        <c:v>2182.9394000000002</c:v>
                      </c:pt>
                      <c:pt idx="4">
                        <c:v>2308.8571999999999</c:v>
                      </c:pt>
                      <c:pt idx="5">
                        <c:v>2208.998</c:v>
                      </c:pt>
                      <c:pt idx="6">
                        <c:v>2401.8978000000002</c:v>
                      </c:pt>
                      <c:pt idx="7">
                        <c:v>2493.2676000000001</c:v>
                      </c:pt>
                      <c:pt idx="8">
                        <c:v>2483.1712000000002</c:v>
                      </c:pt>
                      <c:pt idx="9">
                        <c:v>2375.1277</c:v>
                      </c:pt>
                      <c:pt idx="10">
                        <c:v>2282.8634999999999</c:v>
                      </c:pt>
                      <c:pt idx="11">
                        <c:v>2298.1257000000001</c:v>
                      </c:pt>
                      <c:pt idx="12">
                        <c:v>2249.194</c:v>
                      </c:pt>
                      <c:pt idx="13">
                        <c:v>2247.5951</c:v>
                      </c:pt>
                      <c:pt idx="14">
                        <c:v>2259.3852999999999</c:v>
                      </c:pt>
                      <c:pt idx="15">
                        <c:v>2280.5767000000001</c:v>
                      </c:pt>
                      <c:pt idx="16">
                        <c:v>2277.6689999999999</c:v>
                      </c:pt>
                      <c:pt idx="17">
                        <c:v>2344.8856000000001</c:v>
                      </c:pt>
                      <c:pt idx="18">
                        <c:v>2667.4666000000002</c:v>
                      </c:pt>
                      <c:pt idx="19">
                        <c:v>2527.1939000000002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CF9-4281-8C8D-5926CD3ACCE1}"/>
                  </c:ext>
                </c:extLst>
              </c15:ser>
            </c15:filteredScatterSeries>
          </c:ext>
        </c:extLst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6671621399273283"/>
              <c:y val="0.927348823664775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5808636450056118"/>
              <c:y val="0.406346528454952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2.3820142389815131E-2"/>
          <c:y val="2.9096848484458773E-2"/>
          <c:w val="0.14106147997212398"/>
          <c:h val="0.7383855814707623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679860206400414"/>
        </c:manualLayout>
      </c:layout>
      <c:scatterChart>
        <c:scatterStyle val="lineMarker"/>
        <c:varyColors val="0"/>
        <c:ser>
          <c:idx val="3"/>
          <c:order val="2"/>
          <c:tx>
            <c:strRef>
              <c:f>'Run 1 (Alex)'!$A$42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(Alex)'!$E$42:$E$61</c:f>
              <c:numCache>
                <c:formatCode>General</c:formatCode>
                <c:ptCount val="20"/>
                <c:pt idx="0">
                  <c:v>50.8</c:v>
                </c:pt>
                <c:pt idx="1">
                  <c:v>100.33</c:v>
                </c:pt>
                <c:pt idx="2">
                  <c:v>22.08</c:v>
                </c:pt>
                <c:pt idx="3">
                  <c:v>22.18</c:v>
                </c:pt>
                <c:pt idx="4">
                  <c:v>23.84</c:v>
                </c:pt>
                <c:pt idx="5">
                  <c:v>25.61</c:v>
                </c:pt>
                <c:pt idx="6">
                  <c:v>27.83</c:v>
                </c:pt>
                <c:pt idx="7">
                  <c:v>29.98</c:v>
                </c:pt>
                <c:pt idx="8">
                  <c:v>32.21</c:v>
                </c:pt>
                <c:pt idx="9">
                  <c:v>34.53</c:v>
                </c:pt>
                <c:pt idx="10">
                  <c:v>36.270000000000003</c:v>
                </c:pt>
                <c:pt idx="11">
                  <c:v>38.630000000000003</c:v>
                </c:pt>
                <c:pt idx="12">
                  <c:v>40.659999999999997</c:v>
                </c:pt>
                <c:pt idx="13">
                  <c:v>42.86</c:v>
                </c:pt>
                <c:pt idx="14">
                  <c:v>45.72</c:v>
                </c:pt>
                <c:pt idx="15">
                  <c:v>49.32</c:v>
                </c:pt>
                <c:pt idx="16">
                  <c:v>53.93</c:v>
                </c:pt>
                <c:pt idx="17">
                  <c:v>59.47</c:v>
                </c:pt>
                <c:pt idx="18">
                  <c:v>68.87</c:v>
                </c:pt>
                <c:pt idx="19">
                  <c:v>82.41</c:v>
                </c:pt>
              </c:numCache>
            </c:numRef>
          </c:xVal>
          <c:yVal>
            <c:numRef>
              <c:f>'Run 1 (Alex)'!$D$42:$D$61</c:f>
              <c:numCache>
                <c:formatCode>General</c:formatCode>
                <c:ptCount val="20"/>
                <c:pt idx="0">
                  <c:v>126.09</c:v>
                </c:pt>
                <c:pt idx="1">
                  <c:v>189.78</c:v>
                </c:pt>
                <c:pt idx="2">
                  <c:v>56.49</c:v>
                </c:pt>
                <c:pt idx="3">
                  <c:v>67.41</c:v>
                </c:pt>
                <c:pt idx="4">
                  <c:v>89.88</c:v>
                </c:pt>
                <c:pt idx="5">
                  <c:v>109.97</c:v>
                </c:pt>
                <c:pt idx="6">
                  <c:v>128.1</c:v>
                </c:pt>
                <c:pt idx="7">
                  <c:v>144.68</c:v>
                </c:pt>
                <c:pt idx="8">
                  <c:v>159.85</c:v>
                </c:pt>
                <c:pt idx="9">
                  <c:v>174.7</c:v>
                </c:pt>
                <c:pt idx="10">
                  <c:v>186.7</c:v>
                </c:pt>
                <c:pt idx="11">
                  <c:v>200.49</c:v>
                </c:pt>
                <c:pt idx="12">
                  <c:v>211.85</c:v>
                </c:pt>
                <c:pt idx="13">
                  <c:v>223.8</c:v>
                </c:pt>
                <c:pt idx="14">
                  <c:v>238.79</c:v>
                </c:pt>
                <c:pt idx="15">
                  <c:v>257.77999999999997</c:v>
                </c:pt>
                <c:pt idx="16">
                  <c:v>280.24</c:v>
                </c:pt>
                <c:pt idx="17">
                  <c:v>306.01</c:v>
                </c:pt>
                <c:pt idx="18">
                  <c:v>346.69</c:v>
                </c:pt>
                <c:pt idx="19">
                  <c:v>402.13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3A-4CD5-BFC7-4B15EF69D7E4}"/>
            </c:ext>
          </c:extLst>
        </c:ser>
        <c:ser>
          <c:idx val="4"/>
          <c:order val="3"/>
          <c:tx>
            <c:strRef>
              <c:f>'Run 1 (Alex)'!$A$62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(Alex)'!$E$62:$E$81</c:f>
              <c:numCache>
                <c:formatCode>General</c:formatCode>
                <c:ptCount val="20"/>
                <c:pt idx="0">
                  <c:v>107.61</c:v>
                </c:pt>
                <c:pt idx="1">
                  <c:v>167.75</c:v>
                </c:pt>
                <c:pt idx="2">
                  <c:v>427.66</c:v>
                </c:pt>
                <c:pt idx="3">
                  <c:v>78.69</c:v>
                </c:pt>
                <c:pt idx="4">
                  <c:v>78.430000000000007</c:v>
                </c:pt>
                <c:pt idx="5">
                  <c:v>82.89</c:v>
                </c:pt>
                <c:pt idx="6">
                  <c:v>85.77</c:v>
                </c:pt>
                <c:pt idx="7">
                  <c:v>93.57</c:v>
                </c:pt>
                <c:pt idx="8">
                  <c:v>100.29</c:v>
                </c:pt>
                <c:pt idx="9">
                  <c:v>107.08</c:v>
                </c:pt>
                <c:pt idx="10">
                  <c:v>115.51</c:v>
                </c:pt>
                <c:pt idx="11">
                  <c:v>121.56</c:v>
                </c:pt>
                <c:pt idx="12">
                  <c:v>129.97</c:v>
                </c:pt>
                <c:pt idx="13">
                  <c:v>136.54</c:v>
                </c:pt>
                <c:pt idx="14">
                  <c:v>143.85</c:v>
                </c:pt>
                <c:pt idx="15">
                  <c:v>153.71</c:v>
                </c:pt>
                <c:pt idx="16">
                  <c:v>165.68</c:v>
                </c:pt>
                <c:pt idx="17">
                  <c:v>180.46</c:v>
                </c:pt>
                <c:pt idx="18">
                  <c:v>199.63</c:v>
                </c:pt>
                <c:pt idx="19">
                  <c:v>230.35</c:v>
                </c:pt>
              </c:numCache>
            </c:numRef>
          </c:xVal>
          <c:yVal>
            <c:numRef>
              <c:f>'Run 1 (Alex)'!$D$62:$D$81</c:f>
              <c:numCache>
                <c:formatCode>General</c:formatCode>
                <c:ptCount val="20"/>
                <c:pt idx="0">
                  <c:v>501.59</c:v>
                </c:pt>
                <c:pt idx="1">
                  <c:v>714.13</c:v>
                </c:pt>
                <c:pt idx="2">
                  <c:v>1268.97</c:v>
                </c:pt>
                <c:pt idx="3">
                  <c:v>194.98</c:v>
                </c:pt>
                <c:pt idx="4">
                  <c:v>226.75</c:v>
                </c:pt>
                <c:pt idx="5">
                  <c:v>293.98</c:v>
                </c:pt>
                <c:pt idx="6">
                  <c:v>350.63</c:v>
                </c:pt>
                <c:pt idx="7">
                  <c:v>403.16</c:v>
                </c:pt>
                <c:pt idx="8">
                  <c:v>454.23</c:v>
                </c:pt>
                <c:pt idx="9">
                  <c:v>494.4</c:v>
                </c:pt>
                <c:pt idx="10">
                  <c:v>558.29</c:v>
                </c:pt>
                <c:pt idx="11">
                  <c:v>585.76</c:v>
                </c:pt>
                <c:pt idx="12">
                  <c:v>616.94000000000005</c:v>
                </c:pt>
                <c:pt idx="13">
                  <c:v>640.01</c:v>
                </c:pt>
                <c:pt idx="14">
                  <c:v>665.99</c:v>
                </c:pt>
                <c:pt idx="15">
                  <c:v>827.87</c:v>
                </c:pt>
                <c:pt idx="16">
                  <c:v>953.58</c:v>
                </c:pt>
                <c:pt idx="17">
                  <c:v>1003.68</c:v>
                </c:pt>
                <c:pt idx="18">
                  <c:v>1061.1199999999999</c:v>
                </c:pt>
                <c:pt idx="19">
                  <c:v>1140.33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3A-4CD5-BFC7-4B15EF69D7E4}"/>
            </c:ext>
          </c:extLst>
        </c:ser>
        <c:ser>
          <c:idx val="5"/>
          <c:order val="4"/>
          <c:tx>
            <c:strRef>
              <c:f>'Run 1 (Alex)'!$A$82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(Alex)'!$E$82:$E$101</c:f>
              <c:numCache>
                <c:formatCode>General</c:formatCode>
                <c:ptCount val="20"/>
                <c:pt idx="0">
                  <c:v>274.26</c:v>
                </c:pt>
                <c:pt idx="1">
                  <c:v>352.86</c:v>
                </c:pt>
                <c:pt idx="2">
                  <c:v>541.91</c:v>
                </c:pt>
                <c:pt idx="3">
                  <c:v>1301.3699999999999</c:v>
                </c:pt>
                <c:pt idx="4">
                  <c:v>77.89</c:v>
                </c:pt>
                <c:pt idx="5">
                  <c:v>77.98</c:v>
                </c:pt>
                <c:pt idx="6">
                  <c:v>79.150000000000006</c:v>
                </c:pt>
                <c:pt idx="7">
                  <c:v>79.23</c:v>
                </c:pt>
                <c:pt idx="8">
                  <c:v>82.3</c:v>
                </c:pt>
                <c:pt idx="9">
                  <c:v>81.58</c:v>
                </c:pt>
                <c:pt idx="10">
                  <c:v>83.03</c:v>
                </c:pt>
                <c:pt idx="11">
                  <c:v>85.55</c:v>
                </c:pt>
                <c:pt idx="12">
                  <c:v>84.63</c:v>
                </c:pt>
                <c:pt idx="13">
                  <c:v>86.92</c:v>
                </c:pt>
                <c:pt idx="14">
                  <c:v>87.62</c:v>
                </c:pt>
                <c:pt idx="15">
                  <c:v>88.51</c:v>
                </c:pt>
                <c:pt idx="16">
                  <c:v>91.4</c:v>
                </c:pt>
                <c:pt idx="17">
                  <c:v>92.66</c:v>
                </c:pt>
                <c:pt idx="18">
                  <c:v>95.08</c:v>
                </c:pt>
                <c:pt idx="19">
                  <c:v>100.42</c:v>
                </c:pt>
              </c:numCache>
            </c:numRef>
          </c:xVal>
          <c:yVal>
            <c:numRef>
              <c:f>'Run 1 (Alex)'!$D$82:$D$101</c:f>
              <c:numCache>
                <c:formatCode>General</c:formatCode>
                <c:ptCount val="20"/>
                <c:pt idx="0">
                  <c:v>1249.6300000000001</c:v>
                </c:pt>
                <c:pt idx="1">
                  <c:v>1592.9</c:v>
                </c:pt>
                <c:pt idx="2">
                  <c:v>2204.67</c:v>
                </c:pt>
                <c:pt idx="3">
                  <c:v>3842.23</c:v>
                </c:pt>
                <c:pt idx="4">
                  <c:v>176.36</c:v>
                </c:pt>
                <c:pt idx="5">
                  <c:v>181.82</c:v>
                </c:pt>
                <c:pt idx="6">
                  <c:v>189.8</c:v>
                </c:pt>
                <c:pt idx="7">
                  <c:v>202.28</c:v>
                </c:pt>
                <c:pt idx="8">
                  <c:v>214.14</c:v>
                </c:pt>
                <c:pt idx="9">
                  <c:v>230.79</c:v>
                </c:pt>
                <c:pt idx="10">
                  <c:v>252.84</c:v>
                </c:pt>
                <c:pt idx="11">
                  <c:v>290.75</c:v>
                </c:pt>
                <c:pt idx="12">
                  <c:v>302.13</c:v>
                </c:pt>
                <c:pt idx="13">
                  <c:v>322.7</c:v>
                </c:pt>
                <c:pt idx="14">
                  <c:v>332.3</c:v>
                </c:pt>
                <c:pt idx="15">
                  <c:v>345.95</c:v>
                </c:pt>
                <c:pt idx="16">
                  <c:v>552.80999999999995</c:v>
                </c:pt>
                <c:pt idx="17">
                  <c:v>653.19000000000005</c:v>
                </c:pt>
                <c:pt idx="18">
                  <c:v>669.71</c:v>
                </c:pt>
                <c:pt idx="19">
                  <c:v>694.24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3A-4CD5-BFC7-4B15EF69D7E4}"/>
            </c:ext>
          </c:extLst>
        </c:ser>
        <c:ser>
          <c:idx val="0"/>
          <c:order val="5"/>
          <c:tx>
            <c:strRef>
              <c:f>'Run 1 (Alex)'!$A$102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(Alex)'!$E$102:$E$121</c:f>
              <c:numCache>
                <c:formatCode>General</c:formatCode>
                <c:ptCount val="20"/>
                <c:pt idx="0">
                  <c:v>107.55</c:v>
                </c:pt>
                <c:pt idx="1">
                  <c:v>117.09</c:v>
                </c:pt>
                <c:pt idx="2">
                  <c:v>134.62</c:v>
                </c:pt>
                <c:pt idx="3">
                  <c:v>191</c:v>
                </c:pt>
                <c:pt idx="4">
                  <c:v>423.08</c:v>
                </c:pt>
                <c:pt idx="5">
                  <c:v>6.5</c:v>
                </c:pt>
                <c:pt idx="6">
                  <c:v>6.52</c:v>
                </c:pt>
                <c:pt idx="7">
                  <c:v>6.74</c:v>
                </c:pt>
                <c:pt idx="8">
                  <c:v>6.9</c:v>
                </c:pt>
                <c:pt idx="9">
                  <c:v>7.22</c:v>
                </c:pt>
                <c:pt idx="10">
                  <c:v>7.34</c:v>
                </c:pt>
                <c:pt idx="11">
                  <c:v>7.58</c:v>
                </c:pt>
                <c:pt idx="12">
                  <c:v>7.92</c:v>
                </c:pt>
                <c:pt idx="13">
                  <c:v>8.1300000000000008</c:v>
                </c:pt>
                <c:pt idx="14">
                  <c:v>8.51</c:v>
                </c:pt>
                <c:pt idx="15">
                  <c:v>8.7899999999999991</c:v>
                </c:pt>
                <c:pt idx="16">
                  <c:v>9.1199999999999992</c:v>
                </c:pt>
                <c:pt idx="17">
                  <c:v>9.67</c:v>
                </c:pt>
                <c:pt idx="18">
                  <c:v>10.23</c:v>
                </c:pt>
                <c:pt idx="19">
                  <c:v>10.95</c:v>
                </c:pt>
              </c:numCache>
            </c:numRef>
          </c:xVal>
          <c:yVal>
            <c:numRef>
              <c:f>'Run 1 (Alex)'!$D$102:$D$121</c:f>
              <c:numCache>
                <c:formatCode>General</c:formatCode>
                <c:ptCount val="20"/>
                <c:pt idx="0">
                  <c:v>728.85</c:v>
                </c:pt>
                <c:pt idx="1">
                  <c:v>785.07</c:v>
                </c:pt>
                <c:pt idx="2">
                  <c:v>1029.8499999999999</c:v>
                </c:pt>
                <c:pt idx="3">
                  <c:v>1415.38</c:v>
                </c:pt>
                <c:pt idx="4">
                  <c:v>2447.96</c:v>
                </c:pt>
                <c:pt idx="5">
                  <c:v>14.7</c:v>
                </c:pt>
                <c:pt idx="6">
                  <c:v>16.18</c:v>
                </c:pt>
                <c:pt idx="7">
                  <c:v>20.7</c:v>
                </c:pt>
                <c:pt idx="8">
                  <c:v>24.78</c:v>
                </c:pt>
                <c:pt idx="9">
                  <c:v>28.76</c:v>
                </c:pt>
                <c:pt idx="10">
                  <c:v>32.35</c:v>
                </c:pt>
                <c:pt idx="11">
                  <c:v>35.659999999999997</c:v>
                </c:pt>
                <c:pt idx="12">
                  <c:v>38.74</c:v>
                </c:pt>
                <c:pt idx="13">
                  <c:v>41.26</c:v>
                </c:pt>
                <c:pt idx="14">
                  <c:v>44.21</c:v>
                </c:pt>
                <c:pt idx="15">
                  <c:v>46.92</c:v>
                </c:pt>
                <c:pt idx="16">
                  <c:v>49.42</c:v>
                </c:pt>
                <c:pt idx="17">
                  <c:v>52.81</c:v>
                </c:pt>
                <c:pt idx="18">
                  <c:v>57.17</c:v>
                </c:pt>
                <c:pt idx="19">
                  <c:v>62.06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3A-4CD5-BFC7-4B15EF69D7E4}"/>
            </c:ext>
          </c:extLst>
        </c:ser>
        <c:ser>
          <c:idx val="6"/>
          <c:order val="6"/>
          <c:tx>
            <c:strRef>
              <c:f>'Run 1 (Alex)'!$A$122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(Alex)'!$E$122:$E$141</c:f>
              <c:numCache>
                <c:formatCode>General</c:formatCode>
                <c:ptCount val="20"/>
                <c:pt idx="0">
                  <c:v>12.07</c:v>
                </c:pt>
                <c:pt idx="1">
                  <c:v>13.96</c:v>
                </c:pt>
                <c:pt idx="2">
                  <c:v>16.809999999999999</c:v>
                </c:pt>
                <c:pt idx="3">
                  <c:v>22.16</c:v>
                </c:pt>
                <c:pt idx="4">
                  <c:v>35.299999999999997</c:v>
                </c:pt>
                <c:pt idx="5">
                  <c:v>87.54</c:v>
                </c:pt>
                <c:pt idx="6">
                  <c:v>11.2</c:v>
                </c:pt>
                <c:pt idx="7">
                  <c:v>11.36</c:v>
                </c:pt>
                <c:pt idx="8">
                  <c:v>12.53</c:v>
                </c:pt>
                <c:pt idx="9">
                  <c:v>13.57</c:v>
                </c:pt>
                <c:pt idx="10">
                  <c:v>14.76</c:v>
                </c:pt>
                <c:pt idx="11">
                  <c:v>15.8</c:v>
                </c:pt>
                <c:pt idx="12">
                  <c:v>16.91</c:v>
                </c:pt>
                <c:pt idx="13">
                  <c:v>17.899999999999999</c:v>
                </c:pt>
                <c:pt idx="14">
                  <c:v>18.73</c:v>
                </c:pt>
                <c:pt idx="15">
                  <c:v>20.09</c:v>
                </c:pt>
                <c:pt idx="16">
                  <c:v>21.04</c:v>
                </c:pt>
                <c:pt idx="17">
                  <c:v>22.12</c:v>
                </c:pt>
                <c:pt idx="18">
                  <c:v>23.8</c:v>
                </c:pt>
                <c:pt idx="19">
                  <c:v>25.75</c:v>
                </c:pt>
              </c:numCache>
            </c:numRef>
          </c:xVal>
          <c:yVal>
            <c:numRef>
              <c:f>'Run 1 (Alex)'!$D$122:$D$141</c:f>
              <c:numCache>
                <c:formatCode>General</c:formatCode>
                <c:ptCount val="20"/>
                <c:pt idx="0">
                  <c:v>67.709999999999994</c:v>
                </c:pt>
                <c:pt idx="1">
                  <c:v>76.58</c:v>
                </c:pt>
                <c:pt idx="2">
                  <c:v>88.73</c:v>
                </c:pt>
                <c:pt idx="3">
                  <c:v>110.25</c:v>
                </c:pt>
                <c:pt idx="4">
                  <c:v>157.09</c:v>
                </c:pt>
                <c:pt idx="5">
                  <c:v>287.3</c:v>
                </c:pt>
                <c:pt idx="6">
                  <c:v>25.47</c:v>
                </c:pt>
                <c:pt idx="7">
                  <c:v>29.1</c:v>
                </c:pt>
                <c:pt idx="8">
                  <c:v>35.9</c:v>
                </c:pt>
                <c:pt idx="9">
                  <c:v>42.4</c:v>
                </c:pt>
                <c:pt idx="10">
                  <c:v>48.89</c:v>
                </c:pt>
                <c:pt idx="11">
                  <c:v>54.49</c:v>
                </c:pt>
                <c:pt idx="12">
                  <c:v>58.9</c:v>
                </c:pt>
                <c:pt idx="13">
                  <c:v>65.58</c:v>
                </c:pt>
                <c:pt idx="14">
                  <c:v>70.03</c:v>
                </c:pt>
                <c:pt idx="15">
                  <c:v>73.5</c:v>
                </c:pt>
                <c:pt idx="16">
                  <c:v>75.73</c:v>
                </c:pt>
                <c:pt idx="17">
                  <c:v>78.260000000000005</c:v>
                </c:pt>
                <c:pt idx="18">
                  <c:v>87.75</c:v>
                </c:pt>
                <c:pt idx="19">
                  <c:v>95.27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3A-4CD5-BFC7-4B15EF69D7E4}"/>
            </c:ext>
          </c:extLst>
        </c:ser>
        <c:ser>
          <c:idx val="7"/>
          <c:order val="7"/>
          <c:tx>
            <c:strRef>
              <c:f>'Run 1 (Alex)'!$A$142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(Alex)'!$E$142:$E$161</c:f>
              <c:numCache>
                <c:formatCode>General</c:formatCode>
                <c:ptCount val="20"/>
                <c:pt idx="0">
                  <c:v>27.54</c:v>
                </c:pt>
                <c:pt idx="1">
                  <c:v>29.98</c:v>
                </c:pt>
                <c:pt idx="2">
                  <c:v>34.18</c:v>
                </c:pt>
                <c:pt idx="3">
                  <c:v>38.83</c:v>
                </c:pt>
                <c:pt idx="4">
                  <c:v>46.47</c:v>
                </c:pt>
                <c:pt idx="5">
                  <c:v>65.91</c:v>
                </c:pt>
                <c:pt idx="6">
                  <c:v>161.97999999999999</c:v>
                </c:pt>
                <c:pt idx="7">
                  <c:v>24.25</c:v>
                </c:pt>
                <c:pt idx="8">
                  <c:v>24.67</c:v>
                </c:pt>
                <c:pt idx="9">
                  <c:v>27.84</c:v>
                </c:pt>
                <c:pt idx="10">
                  <c:v>31.46</c:v>
                </c:pt>
                <c:pt idx="11">
                  <c:v>35.33</c:v>
                </c:pt>
                <c:pt idx="12">
                  <c:v>39.15</c:v>
                </c:pt>
                <c:pt idx="13">
                  <c:v>42.77</c:v>
                </c:pt>
                <c:pt idx="14">
                  <c:v>46.47</c:v>
                </c:pt>
                <c:pt idx="15">
                  <c:v>49.6</c:v>
                </c:pt>
                <c:pt idx="16">
                  <c:v>53.33</c:v>
                </c:pt>
                <c:pt idx="17">
                  <c:v>56.58</c:v>
                </c:pt>
                <c:pt idx="18">
                  <c:v>59.9</c:v>
                </c:pt>
                <c:pt idx="19">
                  <c:v>64.33</c:v>
                </c:pt>
              </c:numCache>
            </c:numRef>
          </c:xVal>
          <c:yVal>
            <c:numRef>
              <c:f>'Run 1 (Alex)'!$D$142:$D$161</c:f>
              <c:numCache>
                <c:formatCode>General</c:formatCode>
                <c:ptCount val="20"/>
                <c:pt idx="0">
                  <c:v>98.99</c:v>
                </c:pt>
                <c:pt idx="1">
                  <c:v>103.56</c:v>
                </c:pt>
                <c:pt idx="2">
                  <c:v>111.44</c:v>
                </c:pt>
                <c:pt idx="3">
                  <c:v>119.8</c:v>
                </c:pt>
                <c:pt idx="4">
                  <c:v>144.46</c:v>
                </c:pt>
                <c:pt idx="5">
                  <c:v>191.02</c:v>
                </c:pt>
                <c:pt idx="6">
                  <c:v>321.24</c:v>
                </c:pt>
                <c:pt idx="7">
                  <c:v>66.319999999999993</c:v>
                </c:pt>
                <c:pt idx="8">
                  <c:v>78.63</c:v>
                </c:pt>
                <c:pt idx="9">
                  <c:v>104.66</c:v>
                </c:pt>
                <c:pt idx="10">
                  <c:v>127.75</c:v>
                </c:pt>
                <c:pt idx="11">
                  <c:v>147.81</c:v>
                </c:pt>
                <c:pt idx="12">
                  <c:v>167.16</c:v>
                </c:pt>
                <c:pt idx="13">
                  <c:v>185.63</c:v>
                </c:pt>
                <c:pt idx="14">
                  <c:v>203.22</c:v>
                </c:pt>
                <c:pt idx="15">
                  <c:v>216.95</c:v>
                </c:pt>
                <c:pt idx="16">
                  <c:v>232.04</c:v>
                </c:pt>
                <c:pt idx="17">
                  <c:v>245.08</c:v>
                </c:pt>
                <c:pt idx="18">
                  <c:v>258.58999999999997</c:v>
                </c:pt>
                <c:pt idx="19">
                  <c:v>275.48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3A-4CD5-BFC7-4B15EF69D7E4}"/>
            </c:ext>
          </c:extLst>
        </c:ser>
        <c:ser>
          <c:idx val="8"/>
          <c:order val="8"/>
          <c:tx>
            <c:strRef>
              <c:f>'Run 1 (Alex)'!$A$162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(Alex)'!$E$162:$E$181</c:f>
              <c:numCache>
                <c:formatCode>General</c:formatCode>
                <c:ptCount val="20"/>
                <c:pt idx="0">
                  <c:v>70.11</c:v>
                </c:pt>
                <c:pt idx="1">
                  <c:v>77.17</c:v>
                </c:pt>
                <c:pt idx="2">
                  <c:v>85.67</c:v>
                </c:pt>
                <c:pt idx="3">
                  <c:v>99.37</c:v>
                </c:pt>
                <c:pt idx="4">
                  <c:v>118.7</c:v>
                </c:pt>
                <c:pt idx="5">
                  <c:v>154.93</c:v>
                </c:pt>
                <c:pt idx="6">
                  <c:v>240.76</c:v>
                </c:pt>
                <c:pt idx="7">
                  <c:v>589.16999999999996</c:v>
                </c:pt>
                <c:pt idx="8">
                  <c:v>24.38</c:v>
                </c:pt>
                <c:pt idx="9">
                  <c:v>24.56</c:v>
                </c:pt>
                <c:pt idx="10">
                  <c:v>26.65</c:v>
                </c:pt>
                <c:pt idx="11">
                  <c:v>29.35</c:v>
                </c:pt>
                <c:pt idx="12">
                  <c:v>32.380000000000003</c:v>
                </c:pt>
                <c:pt idx="13">
                  <c:v>35.200000000000003</c:v>
                </c:pt>
                <c:pt idx="14">
                  <c:v>38.1</c:v>
                </c:pt>
                <c:pt idx="15">
                  <c:v>41.6</c:v>
                </c:pt>
                <c:pt idx="16">
                  <c:v>43.62</c:v>
                </c:pt>
                <c:pt idx="17">
                  <c:v>46.66</c:v>
                </c:pt>
                <c:pt idx="18">
                  <c:v>49.1</c:v>
                </c:pt>
                <c:pt idx="19">
                  <c:v>51.87</c:v>
                </c:pt>
              </c:numCache>
            </c:numRef>
          </c:xVal>
          <c:yVal>
            <c:numRef>
              <c:f>'Run 1 (Alex)'!$D$162:$D$181</c:f>
              <c:numCache>
                <c:formatCode>General</c:formatCode>
                <c:ptCount val="20"/>
                <c:pt idx="0">
                  <c:v>296.82</c:v>
                </c:pt>
                <c:pt idx="1">
                  <c:v>320.97000000000003</c:v>
                </c:pt>
                <c:pt idx="2">
                  <c:v>349.3</c:v>
                </c:pt>
                <c:pt idx="3">
                  <c:v>392.46</c:v>
                </c:pt>
                <c:pt idx="4">
                  <c:v>452.91</c:v>
                </c:pt>
                <c:pt idx="5">
                  <c:v>567.95000000000005</c:v>
                </c:pt>
                <c:pt idx="6">
                  <c:v>813.33</c:v>
                </c:pt>
                <c:pt idx="7">
                  <c:v>1488.99</c:v>
                </c:pt>
                <c:pt idx="8">
                  <c:v>66.739999999999995</c:v>
                </c:pt>
                <c:pt idx="9">
                  <c:v>80.58</c:v>
                </c:pt>
                <c:pt idx="10">
                  <c:v>107.93</c:v>
                </c:pt>
                <c:pt idx="11">
                  <c:v>132.03</c:v>
                </c:pt>
                <c:pt idx="12">
                  <c:v>154.22</c:v>
                </c:pt>
                <c:pt idx="13">
                  <c:v>175.06</c:v>
                </c:pt>
                <c:pt idx="14">
                  <c:v>194.61</c:v>
                </c:pt>
                <c:pt idx="15">
                  <c:v>213.27</c:v>
                </c:pt>
                <c:pt idx="16">
                  <c:v>228.73</c:v>
                </c:pt>
                <c:pt idx="17">
                  <c:v>245.86</c:v>
                </c:pt>
                <c:pt idx="18">
                  <c:v>261.48</c:v>
                </c:pt>
                <c:pt idx="19">
                  <c:v>277.58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3A-4CD5-BFC7-4B15EF69D7E4}"/>
            </c:ext>
          </c:extLst>
        </c:ser>
        <c:ser>
          <c:idx val="9"/>
          <c:order val="9"/>
          <c:tx>
            <c:strRef>
              <c:f>'Run 1 (Alex)'!$A$182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(Alex)'!$E$182:$E$201</c:f>
              <c:numCache>
                <c:formatCode>General</c:formatCode>
                <c:ptCount val="20"/>
                <c:pt idx="0">
                  <c:v>55.45</c:v>
                </c:pt>
                <c:pt idx="1">
                  <c:v>59.65</c:v>
                </c:pt>
                <c:pt idx="2">
                  <c:v>65.33</c:v>
                </c:pt>
                <c:pt idx="3">
                  <c:v>72.27</c:v>
                </c:pt>
                <c:pt idx="4">
                  <c:v>83.91</c:v>
                </c:pt>
                <c:pt idx="5">
                  <c:v>100.41</c:v>
                </c:pt>
                <c:pt idx="6">
                  <c:v>132.16999999999999</c:v>
                </c:pt>
                <c:pt idx="7">
                  <c:v>208.67</c:v>
                </c:pt>
                <c:pt idx="8">
                  <c:v>511.83</c:v>
                </c:pt>
                <c:pt idx="9">
                  <c:v>62.13</c:v>
                </c:pt>
                <c:pt idx="10">
                  <c:v>62.37</c:v>
                </c:pt>
                <c:pt idx="11">
                  <c:v>64.099999999999994</c:v>
                </c:pt>
                <c:pt idx="12">
                  <c:v>65.87</c:v>
                </c:pt>
                <c:pt idx="13">
                  <c:v>67.900000000000006</c:v>
                </c:pt>
                <c:pt idx="14">
                  <c:v>69.790000000000006</c:v>
                </c:pt>
                <c:pt idx="15">
                  <c:v>72.290000000000006</c:v>
                </c:pt>
                <c:pt idx="16">
                  <c:v>74.59</c:v>
                </c:pt>
                <c:pt idx="17">
                  <c:v>76.45</c:v>
                </c:pt>
                <c:pt idx="18">
                  <c:v>78.599999999999994</c:v>
                </c:pt>
                <c:pt idx="19">
                  <c:v>80.94</c:v>
                </c:pt>
              </c:numCache>
            </c:numRef>
          </c:xVal>
          <c:yVal>
            <c:numRef>
              <c:f>'Run 1 (Alex)'!$D$182:$D$201</c:f>
              <c:numCache>
                <c:formatCode>General</c:formatCode>
                <c:ptCount val="20"/>
                <c:pt idx="0">
                  <c:v>297.45</c:v>
                </c:pt>
                <c:pt idx="1">
                  <c:v>322.54000000000002</c:v>
                </c:pt>
                <c:pt idx="2">
                  <c:v>351.86</c:v>
                </c:pt>
                <c:pt idx="3">
                  <c:v>385.94</c:v>
                </c:pt>
                <c:pt idx="4">
                  <c:v>439.31</c:v>
                </c:pt>
                <c:pt idx="5">
                  <c:v>512.41</c:v>
                </c:pt>
                <c:pt idx="6">
                  <c:v>643.39</c:v>
                </c:pt>
                <c:pt idx="7">
                  <c:v>924.58</c:v>
                </c:pt>
                <c:pt idx="8">
                  <c:v>1636.49</c:v>
                </c:pt>
                <c:pt idx="9">
                  <c:v>143.44999999999999</c:v>
                </c:pt>
                <c:pt idx="10">
                  <c:v>149.47999999999999</c:v>
                </c:pt>
                <c:pt idx="11">
                  <c:v>166.2</c:v>
                </c:pt>
                <c:pt idx="12">
                  <c:v>183.66</c:v>
                </c:pt>
                <c:pt idx="13">
                  <c:v>200.99</c:v>
                </c:pt>
                <c:pt idx="14">
                  <c:v>218.52</c:v>
                </c:pt>
                <c:pt idx="15">
                  <c:v>235.49</c:v>
                </c:pt>
                <c:pt idx="16">
                  <c:v>252.04</c:v>
                </c:pt>
                <c:pt idx="17">
                  <c:v>266.61</c:v>
                </c:pt>
                <c:pt idx="18">
                  <c:v>284.70999999999998</c:v>
                </c:pt>
                <c:pt idx="19">
                  <c:v>299.61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3A-4CD5-BFC7-4B15EF69D7E4}"/>
            </c:ext>
          </c:extLst>
        </c:ser>
        <c:ser>
          <c:idx val="10"/>
          <c:order val="10"/>
          <c:tx>
            <c:strRef>
              <c:f>'Run 1 (Alex)'!$A$202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(Alex)'!$E$202:$E$221</c:f>
              <c:numCache>
                <c:formatCode>General</c:formatCode>
                <c:ptCount val="20"/>
                <c:pt idx="0">
                  <c:v>83.26</c:v>
                </c:pt>
                <c:pt idx="1">
                  <c:v>86.18</c:v>
                </c:pt>
                <c:pt idx="2">
                  <c:v>89.96</c:v>
                </c:pt>
                <c:pt idx="3">
                  <c:v>95.16</c:v>
                </c:pt>
                <c:pt idx="4">
                  <c:v>102.51</c:v>
                </c:pt>
                <c:pt idx="5">
                  <c:v>115.44</c:v>
                </c:pt>
                <c:pt idx="6">
                  <c:v>134.4</c:v>
                </c:pt>
                <c:pt idx="7">
                  <c:v>173.83</c:v>
                </c:pt>
                <c:pt idx="8">
                  <c:v>280.14999999999998</c:v>
                </c:pt>
                <c:pt idx="9">
                  <c:v>781.66</c:v>
                </c:pt>
                <c:pt idx="10">
                  <c:v>88.07</c:v>
                </c:pt>
                <c:pt idx="11">
                  <c:v>89.14</c:v>
                </c:pt>
                <c:pt idx="12">
                  <c:v>96.88</c:v>
                </c:pt>
                <c:pt idx="13">
                  <c:v>107.43</c:v>
                </c:pt>
                <c:pt idx="14">
                  <c:v>119.62</c:v>
                </c:pt>
                <c:pt idx="15">
                  <c:v>133.03</c:v>
                </c:pt>
                <c:pt idx="16">
                  <c:v>146.61000000000001</c:v>
                </c:pt>
                <c:pt idx="17">
                  <c:v>160.29</c:v>
                </c:pt>
                <c:pt idx="18">
                  <c:v>172.4</c:v>
                </c:pt>
                <c:pt idx="19">
                  <c:v>187.06</c:v>
                </c:pt>
              </c:numCache>
            </c:numRef>
          </c:xVal>
          <c:yVal>
            <c:numRef>
              <c:f>'Run 1 (Alex)'!$D$202:$D$221</c:f>
              <c:numCache>
                <c:formatCode>General</c:formatCode>
                <c:ptCount val="20"/>
                <c:pt idx="0">
                  <c:v>315.66000000000003</c:v>
                </c:pt>
                <c:pt idx="1">
                  <c:v>336.02</c:v>
                </c:pt>
                <c:pt idx="2">
                  <c:v>365.91</c:v>
                </c:pt>
                <c:pt idx="3">
                  <c:v>399.76</c:v>
                </c:pt>
                <c:pt idx="4">
                  <c:v>442.25</c:v>
                </c:pt>
                <c:pt idx="5">
                  <c:v>512.04999999999995</c:v>
                </c:pt>
                <c:pt idx="6">
                  <c:v>611.70000000000005</c:v>
                </c:pt>
                <c:pt idx="7">
                  <c:v>804.85</c:v>
                </c:pt>
                <c:pt idx="8">
                  <c:v>1251.8800000000001</c:v>
                </c:pt>
                <c:pt idx="9">
                  <c:v>2594.2199999999998</c:v>
                </c:pt>
                <c:pt idx="10">
                  <c:v>231.06</c:v>
                </c:pt>
                <c:pt idx="11">
                  <c:v>282.24</c:v>
                </c:pt>
                <c:pt idx="12">
                  <c:v>404.1</c:v>
                </c:pt>
                <c:pt idx="13">
                  <c:v>518.09</c:v>
                </c:pt>
                <c:pt idx="14">
                  <c:v>622.19000000000005</c:v>
                </c:pt>
                <c:pt idx="15">
                  <c:v>723.21</c:v>
                </c:pt>
                <c:pt idx="16">
                  <c:v>809.85</c:v>
                </c:pt>
                <c:pt idx="17">
                  <c:v>903.84</c:v>
                </c:pt>
                <c:pt idx="18">
                  <c:v>963.75</c:v>
                </c:pt>
                <c:pt idx="19">
                  <c:v>1074.5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03A-4CD5-BFC7-4B15EF69D7E4}"/>
            </c:ext>
          </c:extLst>
        </c:ser>
        <c:ser>
          <c:idx val="11"/>
          <c:order val="11"/>
          <c:tx>
            <c:strRef>
              <c:f>'Run 1 (Alex)'!$A$222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(Alex)'!$E$222:$E$241</c:f>
              <c:numCache>
                <c:formatCode>General</c:formatCode>
                <c:ptCount val="20"/>
                <c:pt idx="0">
                  <c:v>199.93</c:v>
                </c:pt>
                <c:pt idx="1">
                  <c:v>213.8</c:v>
                </c:pt>
                <c:pt idx="2">
                  <c:v>230.91</c:v>
                </c:pt>
                <c:pt idx="3">
                  <c:v>254.01</c:v>
                </c:pt>
                <c:pt idx="4">
                  <c:v>282.49</c:v>
                </c:pt>
                <c:pt idx="5">
                  <c:v>317.14</c:v>
                </c:pt>
                <c:pt idx="6">
                  <c:v>374.48</c:v>
                </c:pt>
                <c:pt idx="7">
                  <c:v>456</c:v>
                </c:pt>
                <c:pt idx="8">
                  <c:v>605.26</c:v>
                </c:pt>
                <c:pt idx="9">
                  <c:v>979.58</c:v>
                </c:pt>
                <c:pt idx="10">
                  <c:v>2441.2800000000002</c:v>
                </c:pt>
                <c:pt idx="11">
                  <c:v>22.89</c:v>
                </c:pt>
                <c:pt idx="12">
                  <c:v>23</c:v>
                </c:pt>
                <c:pt idx="13">
                  <c:v>24.42</c:v>
                </c:pt>
                <c:pt idx="14">
                  <c:v>25.06</c:v>
                </c:pt>
                <c:pt idx="15">
                  <c:v>25.95</c:v>
                </c:pt>
                <c:pt idx="16">
                  <c:v>27.25</c:v>
                </c:pt>
                <c:pt idx="17">
                  <c:v>28.32</c:v>
                </c:pt>
                <c:pt idx="18">
                  <c:v>29.21</c:v>
                </c:pt>
                <c:pt idx="19">
                  <c:v>30.32</c:v>
                </c:pt>
              </c:numCache>
            </c:numRef>
          </c:xVal>
          <c:yVal>
            <c:numRef>
              <c:f>'Run 1 (Alex)'!$D$222:$D$241</c:f>
              <c:numCache>
                <c:formatCode>General</c:formatCode>
                <c:ptCount val="20"/>
                <c:pt idx="0">
                  <c:v>1127</c:v>
                </c:pt>
                <c:pt idx="1">
                  <c:v>1174.27</c:v>
                </c:pt>
                <c:pt idx="2">
                  <c:v>1294.45</c:v>
                </c:pt>
                <c:pt idx="3">
                  <c:v>1441.31</c:v>
                </c:pt>
                <c:pt idx="4">
                  <c:v>1526.64</c:v>
                </c:pt>
                <c:pt idx="5">
                  <c:v>1626.16</c:v>
                </c:pt>
                <c:pt idx="6">
                  <c:v>1974.29</c:v>
                </c:pt>
                <c:pt idx="7">
                  <c:v>2362.83</c:v>
                </c:pt>
                <c:pt idx="8">
                  <c:v>2791.35</c:v>
                </c:pt>
                <c:pt idx="9">
                  <c:v>3934.89</c:v>
                </c:pt>
                <c:pt idx="10">
                  <c:v>6565.4</c:v>
                </c:pt>
                <c:pt idx="11">
                  <c:v>54.83</c:v>
                </c:pt>
                <c:pt idx="12">
                  <c:v>61.13</c:v>
                </c:pt>
                <c:pt idx="13">
                  <c:v>73.52</c:v>
                </c:pt>
                <c:pt idx="14">
                  <c:v>84.74</c:v>
                </c:pt>
                <c:pt idx="15">
                  <c:v>94.63</c:v>
                </c:pt>
                <c:pt idx="16">
                  <c:v>104.56</c:v>
                </c:pt>
                <c:pt idx="17">
                  <c:v>113.77</c:v>
                </c:pt>
                <c:pt idx="18">
                  <c:v>122.55</c:v>
                </c:pt>
                <c:pt idx="19">
                  <c:v>130.38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03A-4CD5-BFC7-4B15EF69D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1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1 (Alex)'!$E$2:$E$21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3567.01</c:v>
                      </c:pt>
                      <c:pt idx="1">
                        <c:v>3568.39</c:v>
                      </c:pt>
                      <c:pt idx="2">
                        <c:v>3619.82</c:v>
                      </c:pt>
                      <c:pt idx="3">
                        <c:v>3678.24</c:v>
                      </c:pt>
                      <c:pt idx="4">
                        <c:v>3780</c:v>
                      </c:pt>
                      <c:pt idx="5">
                        <c:v>3873.76</c:v>
                      </c:pt>
                      <c:pt idx="6">
                        <c:v>3991.04</c:v>
                      </c:pt>
                      <c:pt idx="7">
                        <c:v>4121</c:v>
                      </c:pt>
                      <c:pt idx="8">
                        <c:v>4216.2299999999996</c:v>
                      </c:pt>
                      <c:pt idx="9">
                        <c:v>4354.12</c:v>
                      </c:pt>
                      <c:pt idx="10">
                        <c:v>4479.96</c:v>
                      </c:pt>
                      <c:pt idx="11">
                        <c:v>4614.75</c:v>
                      </c:pt>
                      <c:pt idx="12">
                        <c:v>4812.2299999999996</c:v>
                      </c:pt>
                      <c:pt idx="13">
                        <c:v>5045.9799999999996</c:v>
                      </c:pt>
                      <c:pt idx="14">
                        <c:v>5365.96</c:v>
                      </c:pt>
                      <c:pt idx="15">
                        <c:v>5757.01</c:v>
                      </c:pt>
                      <c:pt idx="16">
                        <c:v>6409.7</c:v>
                      </c:pt>
                      <c:pt idx="17">
                        <c:v>7431.39</c:v>
                      </c:pt>
                      <c:pt idx="18">
                        <c:v>9323.19</c:v>
                      </c:pt>
                      <c:pt idx="19">
                        <c:v>13954.49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1 (Alex)'!$D$2:$D$21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8309.42</c:v>
                      </c:pt>
                      <c:pt idx="1">
                        <c:v>8717.24</c:v>
                      </c:pt>
                      <c:pt idx="2">
                        <c:v>9868.56</c:v>
                      </c:pt>
                      <c:pt idx="3">
                        <c:v>11118.98</c:v>
                      </c:pt>
                      <c:pt idx="4">
                        <c:v>12402.48</c:v>
                      </c:pt>
                      <c:pt idx="5">
                        <c:v>13715.87</c:v>
                      </c:pt>
                      <c:pt idx="6">
                        <c:v>15008.87</c:v>
                      </c:pt>
                      <c:pt idx="7">
                        <c:v>16295.88</c:v>
                      </c:pt>
                      <c:pt idx="8">
                        <c:v>17423.87</c:v>
                      </c:pt>
                      <c:pt idx="9">
                        <c:v>18735.740000000002</c:v>
                      </c:pt>
                      <c:pt idx="10">
                        <c:v>19891.689999999999</c:v>
                      </c:pt>
                      <c:pt idx="11">
                        <c:v>21053.59</c:v>
                      </c:pt>
                      <c:pt idx="12">
                        <c:v>22604.49</c:v>
                      </c:pt>
                      <c:pt idx="13">
                        <c:v>24516.080000000002</c:v>
                      </c:pt>
                      <c:pt idx="14">
                        <c:v>26883.91</c:v>
                      </c:pt>
                      <c:pt idx="15">
                        <c:v>29474.35</c:v>
                      </c:pt>
                      <c:pt idx="16">
                        <c:v>33516.74</c:v>
                      </c:pt>
                      <c:pt idx="17">
                        <c:v>39341.1</c:v>
                      </c:pt>
                      <c:pt idx="18">
                        <c:v>49522.26</c:v>
                      </c:pt>
                      <c:pt idx="19">
                        <c:v>71880.44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03A-4CD5-BFC7-4B15EF69D7E4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'Run 1 (Alex)'!$A$22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'Run 1 (Alex)'!$E$22:$E$41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35662.51</c:v>
                      </c:pt>
                      <c:pt idx="1">
                        <c:v>11.51</c:v>
                      </c:pt>
                      <c:pt idx="2">
                        <c:v>11.65</c:v>
                      </c:pt>
                      <c:pt idx="3">
                        <c:v>12.66</c:v>
                      </c:pt>
                      <c:pt idx="4">
                        <c:v>13.6</c:v>
                      </c:pt>
                      <c:pt idx="5">
                        <c:v>14.42</c:v>
                      </c:pt>
                      <c:pt idx="6">
                        <c:v>15.27</c:v>
                      </c:pt>
                      <c:pt idx="7">
                        <c:v>15.89</c:v>
                      </c:pt>
                      <c:pt idx="8">
                        <c:v>16.64</c:v>
                      </c:pt>
                      <c:pt idx="9">
                        <c:v>17.22</c:v>
                      </c:pt>
                      <c:pt idx="10">
                        <c:v>17.91</c:v>
                      </c:pt>
                      <c:pt idx="11">
                        <c:v>18.54</c:v>
                      </c:pt>
                      <c:pt idx="12">
                        <c:v>19.18</c:v>
                      </c:pt>
                      <c:pt idx="13">
                        <c:v>19.989999999999998</c:v>
                      </c:pt>
                      <c:pt idx="14">
                        <c:v>21.02</c:v>
                      </c:pt>
                      <c:pt idx="15">
                        <c:v>22.27</c:v>
                      </c:pt>
                      <c:pt idx="16">
                        <c:v>23.82</c:v>
                      </c:pt>
                      <c:pt idx="17">
                        <c:v>26.42</c:v>
                      </c:pt>
                      <c:pt idx="18">
                        <c:v>30.06</c:v>
                      </c:pt>
                      <c:pt idx="19">
                        <c:v>36.57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'Run 1 (Alex)'!$D$22:$D$41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130227.27</c:v>
                      </c:pt>
                      <c:pt idx="1">
                        <c:v>28.69</c:v>
                      </c:pt>
                      <c:pt idx="2">
                        <c:v>31.21</c:v>
                      </c:pt>
                      <c:pt idx="3">
                        <c:v>35.69</c:v>
                      </c:pt>
                      <c:pt idx="4">
                        <c:v>39.75</c:v>
                      </c:pt>
                      <c:pt idx="5">
                        <c:v>42.85</c:v>
                      </c:pt>
                      <c:pt idx="6">
                        <c:v>46.01</c:v>
                      </c:pt>
                      <c:pt idx="7">
                        <c:v>48.81</c:v>
                      </c:pt>
                      <c:pt idx="8">
                        <c:v>50.97</c:v>
                      </c:pt>
                      <c:pt idx="9">
                        <c:v>53.2</c:v>
                      </c:pt>
                      <c:pt idx="10">
                        <c:v>55.17</c:v>
                      </c:pt>
                      <c:pt idx="11">
                        <c:v>56.89</c:v>
                      </c:pt>
                      <c:pt idx="12">
                        <c:v>59.09</c:v>
                      </c:pt>
                      <c:pt idx="13">
                        <c:v>61.7</c:v>
                      </c:pt>
                      <c:pt idx="14">
                        <c:v>64.83</c:v>
                      </c:pt>
                      <c:pt idx="15">
                        <c:v>68.62</c:v>
                      </c:pt>
                      <c:pt idx="16">
                        <c:v>72.819999999999993</c:v>
                      </c:pt>
                      <c:pt idx="17">
                        <c:v>77.91</c:v>
                      </c:pt>
                      <c:pt idx="18">
                        <c:v>84.6</c:v>
                      </c:pt>
                      <c:pt idx="19">
                        <c:v>98.54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03A-4CD5-BFC7-4B15EF69D7E4}"/>
                  </c:ext>
                </c:extLst>
              </c15:ser>
            </c15:filteredScatterSeries>
          </c:ext>
        </c:extLst>
      </c:scatterChart>
      <c:valAx>
        <c:axId val="1231546240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911469717713879"/>
              <c:y val="0.91272846833670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7717915814386207"/>
        </c:manualLayout>
      </c:layout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('Run 1 (Alex)'!$E$2:$E$21,'Run 1 (Alex)'!$E$42:$E$61,'Run 1 (Alex)'!$E$102:$E$121,'Run 1 (Alex)'!$E$182:$E$201)</c:f>
              <c:numCache>
                <c:formatCode>General</c:formatCode>
                <c:ptCount val="80"/>
                <c:pt idx="0">
                  <c:v>3567.01</c:v>
                </c:pt>
                <c:pt idx="1">
                  <c:v>3568.39</c:v>
                </c:pt>
                <c:pt idx="2">
                  <c:v>3619.82</c:v>
                </c:pt>
                <c:pt idx="3">
                  <c:v>3678.24</c:v>
                </c:pt>
                <c:pt idx="4">
                  <c:v>3780</c:v>
                </c:pt>
                <c:pt idx="5">
                  <c:v>3873.76</c:v>
                </c:pt>
                <c:pt idx="6">
                  <c:v>3991.04</c:v>
                </c:pt>
                <c:pt idx="7">
                  <c:v>4121</c:v>
                </c:pt>
                <c:pt idx="8">
                  <c:v>4216.2299999999996</c:v>
                </c:pt>
                <c:pt idx="9">
                  <c:v>4354.12</c:v>
                </c:pt>
                <c:pt idx="10">
                  <c:v>4479.96</c:v>
                </c:pt>
                <c:pt idx="11">
                  <c:v>4614.75</c:v>
                </c:pt>
                <c:pt idx="12">
                  <c:v>4812.2299999999996</c:v>
                </c:pt>
                <c:pt idx="13">
                  <c:v>5045.9799999999996</c:v>
                </c:pt>
                <c:pt idx="14">
                  <c:v>5365.96</c:v>
                </c:pt>
                <c:pt idx="15">
                  <c:v>5757.01</c:v>
                </c:pt>
                <c:pt idx="16">
                  <c:v>6409.7</c:v>
                </c:pt>
                <c:pt idx="17">
                  <c:v>7431.39</c:v>
                </c:pt>
                <c:pt idx="18">
                  <c:v>9323.19</c:v>
                </c:pt>
                <c:pt idx="19">
                  <c:v>13954.49</c:v>
                </c:pt>
                <c:pt idx="20">
                  <c:v>50.8</c:v>
                </c:pt>
                <c:pt idx="21">
                  <c:v>100.33</c:v>
                </c:pt>
                <c:pt idx="22">
                  <c:v>22.08</c:v>
                </c:pt>
                <c:pt idx="23">
                  <c:v>22.18</c:v>
                </c:pt>
                <c:pt idx="24">
                  <c:v>23.84</c:v>
                </c:pt>
                <c:pt idx="25">
                  <c:v>25.61</c:v>
                </c:pt>
                <c:pt idx="26">
                  <c:v>27.83</c:v>
                </c:pt>
                <c:pt idx="27">
                  <c:v>29.98</c:v>
                </c:pt>
                <c:pt idx="28">
                  <c:v>32.21</c:v>
                </c:pt>
                <c:pt idx="29">
                  <c:v>34.53</c:v>
                </c:pt>
                <c:pt idx="30">
                  <c:v>36.270000000000003</c:v>
                </c:pt>
                <c:pt idx="31">
                  <c:v>38.630000000000003</c:v>
                </c:pt>
                <c:pt idx="32">
                  <c:v>40.659999999999997</c:v>
                </c:pt>
                <c:pt idx="33">
                  <c:v>42.86</c:v>
                </c:pt>
                <c:pt idx="34">
                  <c:v>45.72</c:v>
                </c:pt>
                <c:pt idx="35">
                  <c:v>49.32</c:v>
                </c:pt>
                <c:pt idx="36">
                  <c:v>53.93</c:v>
                </c:pt>
                <c:pt idx="37">
                  <c:v>59.47</c:v>
                </c:pt>
                <c:pt idx="38">
                  <c:v>68.87</c:v>
                </c:pt>
                <c:pt idx="39">
                  <c:v>82.41</c:v>
                </c:pt>
                <c:pt idx="40">
                  <c:v>107.55</c:v>
                </c:pt>
                <c:pt idx="41">
                  <c:v>117.09</c:v>
                </c:pt>
                <c:pt idx="42">
                  <c:v>134.62</c:v>
                </c:pt>
                <c:pt idx="43">
                  <c:v>191</c:v>
                </c:pt>
                <c:pt idx="44">
                  <c:v>423.08</c:v>
                </c:pt>
                <c:pt idx="45">
                  <c:v>6.5</c:v>
                </c:pt>
                <c:pt idx="46">
                  <c:v>6.52</c:v>
                </c:pt>
                <c:pt idx="47">
                  <c:v>6.74</c:v>
                </c:pt>
                <c:pt idx="48">
                  <c:v>6.9</c:v>
                </c:pt>
                <c:pt idx="49">
                  <c:v>7.22</c:v>
                </c:pt>
                <c:pt idx="50">
                  <c:v>7.34</c:v>
                </c:pt>
                <c:pt idx="51">
                  <c:v>7.58</c:v>
                </c:pt>
                <c:pt idx="52">
                  <c:v>7.92</c:v>
                </c:pt>
                <c:pt idx="53">
                  <c:v>8.1300000000000008</c:v>
                </c:pt>
                <c:pt idx="54">
                  <c:v>8.51</c:v>
                </c:pt>
                <c:pt idx="55">
                  <c:v>8.7899999999999991</c:v>
                </c:pt>
                <c:pt idx="56">
                  <c:v>9.1199999999999992</c:v>
                </c:pt>
                <c:pt idx="57">
                  <c:v>9.67</c:v>
                </c:pt>
                <c:pt idx="58">
                  <c:v>10.23</c:v>
                </c:pt>
                <c:pt idx="59">
                  <c:v>10.95</c:v>
                </c:pt>
                <c:pt idx="60">
                  <c:v>55.45</c:v>
                </c:pt>
                <c:pt idx="61">
                  <c:v>59.65</c:v>
                </c:pt>
                <c:pt idx="62">
                  <c:v>65.33</c:v>
                </c:pt>
                <c:pt idx="63">
                  <c:v>72.27</c:v>
                </c:pt>
                <c:pt idx="64">
                  <c:v>83.91</c:v>
                </c:pt>
                <c:pt idx="65">
                  <c:v>100.41</c:v>
                </c:pt>
                <c:pt idx="66">
                  <c:v>132.16999999999999</c:v>
                </c:pt>
                <c:pt idx="67">
                  <c:v>208.67</c:v>
                </c:pt>
                <c:pt idx="68">
                  <c:v>511.83</c:v>
                </c:pt>
                <c:pt idx="69">
                  <c:v>62.13</c:v>
                </c:pt>
                <c:pt idx="70">
                  <c:v>62.37</c:v>
                </c:pt>
                <c:pt idx="71">
                  <c:v>64.099999999999994</c:v>
                </c:pt>
                <c:pt idx="72">
                  <c:v>65.87</c:v>
                </c:pt>
                <c:pt idx="73">
                  <c:v>67.900000000000006</c:v>
                </c:pt>
                <c:pt idx="74">
                  <c:v>69.790000000000006</c:v>
                </c:pt>
                <c:pt idx="75">
                  <c:v>72.290000000000006</c:v>
                </c:pt>
                <c:pt idx="76">
                  <c:v>74.59</c:v>
                </c:pt>
                <c:pt idx="77">
                  <c:v>76.45</c:v>
                </c:pt>
                <c:pt idx="78">
                  <c:v>78.599999999999994</c:v>
                </c:pt>
                <c:pt idx="79">
                  <c:v>80.94</c:v>
                </c:pt>
              </c:numCache>
            </c:numRef>
          </c:xVal>
          <c:yVal>
            <c:numRef>
              <c:f>'Run 1 (Alex)'!$D$23:$D$241</c:f>
              <c:numCache>
                <c:formatCode>General</c:formatCode>
                <c:ptCount val="219"/>
                <c:pt idx="0">
                  <c:v>28.69</c:v>
                </c:pt>
                <c:pt idx="1">
                  <c:v>31.21</c:v>
                </c:pt>
                <c:pt idx="2">
                  <c:v>35.69</c:v>
                </c:pt>
                <c:pt idx="3">
                  <c:v>39.75</c:v>
                </c:pt>
                <c:pt idx="4">
                  <c:v>42.85</c:v>
                </c:pt>
                <c:pt idx="5">
                  <c:v>46.01</c:v>
                </c:pt>
                <c:pt idx="6">
                  <c:v>48.81</c:v>
                </c:pt>
                <c:pt idx="7">
                  <c:v>50.97</c:v>
                </c:pt>
                <c:pt idx="8">
                  <c:v>53.2</c:v>
                </c:pt>
                <c:pt idx="9">
                  <c:v>55.17</c:v>
                </c:pt>
                <c:pt idx="10">
                  <c:v>56.89</c:v>
                </c:pt>
                <c:pt idx="11">
                  <c:v>59.09</c:v>
                </c:pt>
                <c:pt idx="12">
                  <c:v>61.7</c:v>
                </c:pt>
                <c:pt idx="13">
                  <c:v>64.83</c:v>
                </c:pt>
                <c:pt idx="14">
                  <c:v>68.62</c:v>
                </c:pt>
                <c:pt idx="15">
                  <c:v>72.819999999999993</c:v>
                </c:pt>
                <c:pt idx="16">
                  <c:v>77.91</c:v>
                </c:pt>
                <c:pt idx="17">
                  <c:v>84.6</c:v>
                </c:pt>
                <c:pt idx="18">
                  <c:v>98.54</c:v>
                </c:pt>
                <c:pt idx="19">
                  <c:v>126.09</c:v>
                </c:pt>
                <c:pt idx="20">
                  <c:v>189.78</c:v>
                </c:pt>
                <c:pt idx="21">
                  <c:v>56.49</c:v>
                </c:pt>
                <c:pt idx="22">
                  <c:v>67.41</c:v>
                </c:pt>
                <c:pt idx="23">
                  <c:v>89.88</c:v>
                </c:pt>
                <c:pt idx="24">
                  <c:v>109.97</c:v>
                </c:pt>
                <c:pt idx="25">
                  <c:v>128.1</c:v>
                </c:pt>
                <c:pt idx="26">
                  <c:v>144.68</c:v>
                </c:pt>
                <c:pt idx="27">
                  <c:v>159.85</c:v>
                </c:pt>
                <c:pt idx="28">
                  <c:v>174.7</c:v>
                </c:pt>
                <c:pt idx="29">
                  <c:v>186.7</c:v>
                </c:pt>
                <c:pt idx="30">
                  <c:v>200.49</c:v>
                </c:pt>
                <c:pt idx="31">
                  <c:v>211.85</c:v>
                </c:pt>
                <c:pt idx="32">
                  <c:v>223.8</c:v>
                </c:pt>
                <c:pt idx="33">
                  <c:v>238.79</c:v>
                </c:pt>
                <c:pt idx="34">
                  <c:v>257.77999999999997</c:v>
                </c:pt>
                <c:pt idx="35">
                  <c:v>280.24</c:v>
                </c:pt>
                <c:pt idx="36">
                  <c:v>306.01</c:v>
                </c:pt>
                <c:pt idx="37">
                  <c:v>346.69</c:v>
                </c:pt>
                <c:pt idx="38">
                  <c:v>402.13</c:v>
                </c:pt>
                <c:pt idx="39">
                  <c:v>501.59</c:v>
                </c:pt>
                <c:pt idx="40">
                  <c:v>714.13</c:v>
                </c:pt>
                <c:pt idx="41">
                  <c:v>1268.97</c:v>
                </c:pt>
                <c:pt idx="42">
                  <c:v>194.98</c:v>
                </c:pt>
                <c:pt idx="43">
                  <c:v>226.75</c:v>
                </c:pt>
                <c:pt idx="44">
                  <c:v>293.98</c:v>
                </c:pt>
                <c:pt idx="45">
                  <c:v>350.63</c:v>
                </c:pt>
                <c:pt idx="46">
                  <c:v>403.16</c:v>
                </c:pt>
                <c:pt idx="47">
                  <c:v>454.23</c:v>
                </c:pt>
                <c:pt idx="48">
                  <c:v>494.4</c:v>
                </c:pt>
                <c:pt idx="49">
                  <c:v>558.29</c:v>
                </c:pt>
                <c:pt idx="50">
                  <c:v>585.76</c:v>
                </c:pt>
                <c:pt idx="51">
                  <c:v>616.94000000000005</c:v>
                </c:pt>
                <c:pt idx="52">
                  <c:v>640.01</c:v>
                </c:pt>
                <c:pt idx="53">
                  <c:v>665.99</c:v>
                </c:pt>
                <c:pt idx="54">
                  <c:v>827.87</c:v>
                </c:pt>
                <c:pt idx="55">
                  <c:v>953.58</c:v>
                </c:pt>
                <c:pt idx="56">
                  <c:v>1003.68</c:v>
                </c:pt>
                <c:pt idx="57">
                  <c:v>1061.1199999999999</c:v>
                </c:pt>
                <c:pt idx="58">
                  <c:v>1140.33</c:v>
                </c:pt>
                <c:pt idx="59">
                  <c:v>1249.6300000000001</c:v>
                </c:pt>
                <c:pt idx="60">
                  <c:v>1592.9</c:v>
                </c:pt>
                <c:pt idx="61">
                  <c:v>2204.67</c:v>
                </c:pt>
                <c:pt idx="62">
                  <c:v>3842.23</c:v>
                </c:pt>
                <c:pt idx="63">
                  <c:v>176.36</c:v>
                </c:pt>
                <c:pt idx="64">
                  <c:v>181.82</c:v>
                </c:pt>
                <c:pt idx="65">
                  <c:v>189.8</c:v>
                </c:pt>
                <c:pt idx="66">
                  <c:v>202.28</c:v>
                </c:pt>
                <c:pt idx="67">
                  <c:v>214.14</c:v>
                </c:pt>
                <c:pt idx="68">
                  <c:v>230.79</c:v>
                </c:pt>
                <c:pt idx="69">
                  <c:v>252.84</c:v>
                </c:pt>
                <c:pt idx="70">
                  <c:v>290.75</c:v>
                </c:pt>
                <c:pt idx="71">
                  <c:v>302.13</c:v>
                </c:pt>
                <c:pt idx="72">
                  <c:v>322.7</c:v>
                </c:pt>
                <c:pt idx="73">
                  <c:v>332.3</c:v>
                </c:pt>
                <c:pt idx="74">
                  <c:v>345.95</c:v>
                </c:pt>
                <c:pt idx="75">
                  <c:v>552.80999999999995</c:v>
                </c:pt>
                <c:pt idx="76">
                  <c:v>653.19000000000005</c:v>
                </c:pt>
                <c:pt idx="77">
                  <c:v>669.71</c:v>
                </c:pt>
                <c:pt idx="78">
                  <c:v>694.24</c:v>
                </c:pt>
                <c:pt idx="79">
                  <c:v>728.85</c:v>
                </c:pt>
                <c:pt idx="80">
                  <c:v>785.07</c:v>
                </c:pt>
                <c:pt idx="81">
                  <c:v>1029.8499999999999</c:v>
                </c:pt>
                <c:pt idx="82">
                  <c:v>1415.38</c:v>
                </c:pt>
                <c:pt idx="83">
                  <c:v>2447.96</c:v>
                </c:pt>
                <c:pt idx="84">
                  <c:v>14.7</c:v>
                </c:pt>
                <c:pt idx="85">
                  <c:v>16.18</c:v>
                </c:pt>
                <c:pt idx="86">
                  <c:v>20.7</c:v>
                </c:pt>
                <c:pt idx="87">
                  <c:v>24.78</c:v>
                </c:pt>
                <c:pt idx="88">
                  <c:v>28.76</c:v>
                </c:pt>
                <c:pt idx="89">
                  <c:v>32.35</c:v>
                </c:pt>
                <c:pt idx="90">
                  <c:v>35.659999999999997</c:v>
                </c:pt>
                <c:pt idx="91">
                  <c:v>38.74</c:v>
                </c:pt>
                <c:pt idx="92">
                  <c:v>41.26</c:v>
                </c:pt>
                <c:pt idx="93">
                  <c:v>44.21</c:v>
                </c:pt>
                <c:pt idx="94">
                  <c:v>46.92</c:v>
                </c:pt>
                <c:pt idx="95">
                  <c:v>49.42</c:v>
                </c:pt>
                <c:pt idx="96">
                  <c:v>52.81</c:v>
                </c:pt>
                <c:pt idx="97">
                  <c:v>57.17</c:v>
                </c:pt>
                <c:pt idx="98">
                  <c:v>62.06</c:v>
                </c:pt>
                <c:pt idx="99">
                  <c:v>67.709999999999994</c:v>
                </c:pt>
                <c:pt idx="100">
                  <c:v>76.58</c:v>
                </c:pt>
                <c:pt idx="101">
                  <c:v>88.73</c:v>
                </c:pt>
                <c:pt idx="102">
                  <c:v>110.25</c:v>
                </c:pt>
                <c:pt idx="103">
                  <c:v>157.09</c:v>
                </c:pt>
                <c:pt idx="104">
                  <c:v>287.3</c:v>
                </c:pt>
                <c:pt idx="105">
                  <c:v>25.47</c:v>
                </c:pt>
                <c:pt idx="106">
                  <c:v>29.1</c:v>
                </c:pt>
                <c:pt idx="107">
                  <c:v>35.9</c:v>
                </c:pt>
                <c:pt idx="108">
                  <c:v>42.4</c:v>
                </c:pt>
                <c:pt idx="109">
                  <c:v>48.89</c:v>
                </c:pt>
                <c:pt idx="110">
                  <c:v>54.49</c:v>
                </c:pt>
                <c:pt idx="111">
                  <c:v>58.9</c:v>
                </c:pt>
                <c:pt idx="112">
                  <c:v>65.58</c:v>
                </c:pt>
                <c:pt idx="113">
                  <c:v>70.03</c:v>
                </c:pt>
                <c:pt idx="114">
                  <c:v>73.5</c:v>
                </c:pt>
                <c:pt idx="115">
                  <c:v>75.73</c:v>
                </c:pt>
                <c:pt idx="116">
                  <c:v>78.260000000000005</c:v>
                </c:pt>
                <c:pt idx="117">
                  <c:v>87.75</c:v>
                </c:pt>
                <c:pt idx="118">
                  <c:v>95.27</c:v>
                </c:pt>
                <c:pt idx="119">
                  <c:v>98.99</c:v>
                </c:pt>
                <c:pt idx="120">
                  <c:v>103.56</c:v>
                </c:pt>
                <c:pt idx="121">
                  <c:v>111.44</c:v>
                </c:pt>
                <c:pt idx="122">
                  <c:v>119.8</c:v>
                </c:pt>
                <c:pt idx="123">
                  <c:v>144.46</c:v>
                </c:pt>
                <c:pt idx="124">
                  <c:v>191.02</c:v>
                </c:pt>
                <c:pt idx="125">
                  <c:v>321.24</c:v>
                </c:pt>
                <c:pt idx="126">
                  <c:v>66.319999999999993</c:v>
                </c:pt>
                <c:pt idx="127">
                  <c:v>78.63</c:v>
                </c:pt>
                <c:pt idx="128">
                  <c:v>104.66</c:v>
                </c:pt>
                <c:pt idx="129">
                  <c:v>127.75</c:v>
                </c:pt>
                <c:pt idx="130">
                  <c:v>147.81</c:v>
                </c:pt>
                <c:pt idx="131">
                  <c:v>167.16</c:v>
                </c:pt>
                <c:pt idx="132">
                  <c:v>185.63</c:v>
                </c:pt>
                <c:pt idx="133">
                  <c:v>203.22</c:v>
                </c:pt>
                <c:pt idx="134">
                  <c:v>216.95</c:v>
                </c:pt>
                <c:pt idx="135">
                  <c:v>232.04</c:v>
                </c:pt>
                <c:pt idx="136">
                  <c:v>245.08</c:v>
                </c:pt>
                <c:pt idx="137">
                  <c:v>258.58999999999997</c:v>
                </c:pt>
                <c:pt idx="138">
                  <c:v>275.48</c:v>
                </c:pt>
                <c:pt idx="139">
                  <c:v>296.82</c:v>
                </c:pt>
                <c:pt idx="140">
                  <c:v>320.97000000000003</c:v>
                </c:pt>
                <c:pt idx="141">
                  <c:v>349.3</c:v>
                </c:pt>
                <c:pt idx="142">
                  <c:v>392.46</c:v>
                </c:pt>
                <c:pt idx="143">
                  <c:v>452.91</c:v>
                </c:pt>
                <c:pt idx="144">
                  <c:v>567.95000000000005</c:v>
                </c:pt>
                <c:pt idx="145">
                  <c:v>813.33</c:v>
                </c:pt>
                <c:pt idx="146">
                  <c:v>1488.99</c:v>
                </c:pt>
                <c:pt idx="147">
                  <c:v>66.739999999999995</c:v>
                </c:pt>
                <c:pt idx="148">
                  <c:v>80.58</c:v>
                </c:pt>
                <c:pt idx="149">
                  <c:v>107.93</c:v>
                </c:pt>
                <c:pt idx="150">
                  <c:v>132.03</c:v>
                </c:pt>
                <c:pt idx="151">
                  <c:v>154.22</c:v>
                </c:pt>
                <c:pt idx="152">
                  <c:v>175.06</c:v>
                </c:pt>
                <c:pt idx="153">
                  <c:v>194.61</c:v>
                </c:pt>
                <c:pt idx="154">
                  <c:v>213.27</c:v>
                </c:pt>
                <c:pt idx="155">
                  <c:v>228.73</c:v>
                </c:pt>
                <c:pt idx="156">
                  <c:v>245.86</c:v>
                </c:pt>
                <c:pt idx="157">
                  <c:v>261.48</c:v>
                </c:pt>
                <c:pt idx="158">
                  <c:v>277.58</c:v>
                </c:pt>
                <c:pt idx="159">
                  <c:v>297.45</c:v>
                </c:pt>
                <c:pt idx="160">
                  <c:v>322.54000000000002</c:v>
                </c:pt>
                <c:pt idx="161">
                  <c:v>351.86</c:v>
                </c:pt>
                <c:pt idx="162">
                  <c:v>385.94</c:v>
                </c:pt>
                <c:pt idx="163">
                  <c:v>439.31</c:v>
                </c:pt>
                <c:pt idx="164">
                  <c:v>512.41</c:v>
                </c:pt>
                <c:pt idx="165">
                  <c:v>643.39</c:v>
                </c:pt>
                <c:pt idx="166">
                  <c:v>924.58</c:v>
                </c:pt>
                <c:pt idx="167">
                  <c:v>1636.49</c:v>
                </c:pt>
                <c:pt idx="168">
                  <c:v>143.44999999999999</c:v>
                </c:pt>
                <c:pt idx="169">
                  <c:v>149.47999999999999</c:v>
                </c:pt>
                <c:pt idx="170">
                  <c:v>166.2</c:v>
                </c:pt>
                <c:pt idx="171">
                  <c:v>183.66</c:v>
                </c:pt>
                <c:pt idx="172">
                  <c:v>200.99</c:v>
                </c:pt>
                <c:pt idx="173">
                  <c:v>218.52</c:v>
                </c:pt>
                <c:pt idx="174">
                  <c:v>235.49</c:v>
                </c:pt>
                <c:pt idx="175">
                  <c:v>252.04</c:v>
                </c:pt>
                <c:pt idx="176">
                  <c:v>266.61</c:v>
                </c:pt>
                <c:pt idx="177">
                  <c:v>284.70999999999998</c:v>
                </c:pt>
                <c:pt idx="178">
                  <c:v>299.61</c:v>
                </c:pt>
                <c:pt idx="179">
                  <c:v>315.66000000000003</c:v>
                </c:pt>
                <c:pt idx="180">
                  <c:v>336.02</c:v>
                </c:pt>
                <c:pt idx="181">
                  <c:v>365.91</c:v>
                </c:pt>
                <c:pt idx="182">
                  <c:v>399.76</c:v>
                </c:pt>
                <c:pt idx="183">
                  <c:v>442.25</c:v>
                </c:pt>
                <c:pt idx="184">
                  <c:v>512.04999999999995</c:v>
                </c:pt>
                <c:pt idx="185">
                  <c:v>611.70000000000005</c:v>
                </c:pt>
                <c:pt idx="186">
                  <c:v>804.85</c:v>
                </c:pt>
                <c:pt idx="187">
                  <c:v>1251.8800000000001</c:v>
                </c:pt>
                <c:pt idx="188">
                  <c:v>2594.2199999999998</c:v>
                </c:pt>
                <c:pt idx="189">
                  <c:v>231.06</c:v>
                </c:pt>
                <c:pt idx="190">
                  <c:v>282.24</c:v>
                </c:pt>
                <c:pt idx="191">
                  <c:v>404.1</c:v>
                </c:pt>
                <c:pt idx="192">
                  <c:v>518.09</c:v>
                </c:pt>
                <c:pt idx="193">
                  <c:v>622.19000000000005</c:v>
                </c:pt>
                <c:pt idx="194">
                  <c:v>723.21</c:v>
                </c:pt>
                <c:pt idx="195">
                  <c:v>809.85</c:v>
                </c:pt>
                <c:pt idx="196">
                  <c:v>903.84</c:v>
                </c:pt>
                <c:pt idx="197">
                  <c:v>963.75</c:v>
                </c:pt>
                <c:pt idx="198">
                  <c:v>1074.5</c:v>
                </c:pt>
                <c:pt idx="199">
                  <c:v>1127</c:v>
                </c:pt>
                <c:pt idx="200">
                  <c:v>1174.27</c:v>
                </c:pt>
                <c:pt idx="201">
                  <c:v>1294.45</c:v>
                </c:pt>
                <c:pt idx="202">
                  <c:v>1441.31</c:v>
                </c:pt>
                <c:pt idx="203">
                  <c:v>1526.64</c:v>
                </c:pt>
                <c:pt idx="204">
                  <c:v>1626.16</c:v>
                </c:pt>
                <c:pt idx="205">
                  <c:v>1974.29</c:v>
                </c:pt>
                <c:pt idx="206">
                  <c:v>2362.83</c:v>
                </c:pt>
                <c:pt idx="207">
                  <c:v>2791.35</c:v>
                </c:pt>
                <c:pt idx="208">
                  <c:v>3934.89</c:v>
                </c:pt>
                <c:pt idx="209">
                  <c:v>6565.4</c:v>
                </c:pt>
                <c:pt idx="210">
                  <c:v>54.83</c:v>
                </c:pt>
                <c:pt idx="211">
                  <c:v>61.13</c:v>
                </c:pt>
                <c:pt idx="212">
                  <c:v>73.52</c:v>
                </c:pt>
                <c:pt idx="213">
                  <c:v>84.74</c:v>
                </c:pt>
                <c:pt idx="214">
                  <c:v>94.63</c:v>
                </c:pt>
                <c:pt idx="215">
                  <c:v>104.56</c:v>
                </c:pt>
                <c:pt idx="216">
                  <c:v>113.77</c:v>
                </c:pt>
                <c:pt idx="217">
                  <c:v>122.55</c:v>
                </c:pt>
                <c:pt idx="218">
                  <c:v>130.38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7-4BB4-ACBB-633930E8A659}"/>
            </c:ext>
          </c:extLst>
        </c:ser>
        <c:ser>
          <c:idx val="2"/>
          <c:order val="1"/>
          <c:spPr>
            <a:ln w="38100">
              <a:noFill/>
            </a:ln>
          </c:spPr>
          <c:xVal>
            <c:numRef>
              <c:f>('Run 1 (Alex)'!$E$22:$E$41,'Run 1 (Alex)'!$E$62:$E$81,'Run 1 (Alex)'!$E$82:$E$101,'Run 1 (Alex)'!$E$122:$E$141,'Run 1 (Alex)'!$E$142:$E$181,'Run 1 (Alex)'!$E$202:$E$241)</c:f>
              <c:numCache>
                <c:formatCode>General</c:formatCode>
                <c:ptCount val="160"/>
                <c:pt idx="0">
                  <c:v>35662.51</c:v>
                </c:pt>
                <c:pt idx="1">
                  <c:v>11.51</c:v>
                </c:pt>
                <c:pt idx="2">
                  <c:v>11.65</c:v>
                </c:pt>
                <c:pt idx="3">
                  <c:v>12.66</c:v>
                </c:pt>
                <c:pt idx="4">
                  <c:v>13.6</c:v>
                </c:pt>
                <c:pt idx="5">
                  <c:v>14.42</c:v>
                </c:pt>
                <c:pt idx="6">
                  <c:v>15.27</c:v>
                </c:pt>
                <c:pt idx="7">
                  <c:v>15.89</c:v>
                </c:pt>
                <c:pt idx="8">
                  <c:v>16.64</c:v>
                </c:pt>
                <c:pt idx="9">
                  <c:v>17.22</c:v>
                </c:pt>
                <c:pt idx="10">
                  <c:v>17.91</c:v>
                </c:pt>
                <c:pt idx="11">
                  <c:v>18.54</c:v>
                </c:pt>
                <c:pt idx="12">
                  <c:v>19.18</c:v>
                </c:pt>
                <c:pt idx="13">
                  <c:v>19.989999999999998</c:v>
                </c:pt>
                <c:pt idx="14">
                  <c:v>21.02</c:v>
                </c:pt>
                <c:pt idx="15">
                  <c:v>22.27</c:v>
                </c:pt>
                <c:pt idx="16">
                  <c:v>23.82</c:v>
                </c:pt>
                <c:pt idx="17">
                  <c:v>26.42</c:v>
                </c:pt>
                <c:pt idx="18">
                  <c:v>30.06</c:v>
                </c:pt>
                <c:pt idx="19">
                  <c:v>36.57</c:v>
                </c:pt>
                <c:pt idx="20">
                  <c:v>107.61</c:v>
                </c:pt>
                <c:pt idx="21">
                  <c:v>167.75</c:v>
                </c:pt>
                <c:pt idx="22">
                  <c:v>427.66</c:v>
                </c:pt>
                <c:pt idx="23">
                  <c:v>78.69</c:v>
                </c:pt>
                <c:pt idx="24">
                  <c:v>78.430000000000007</c:v>
                </c:pt>
                <c:pt idx="25">
                  <c:v>82.89</c:v>
                </c:pt>
                <c:pt idx="26">
                  <c:v>85.77</c:v>
                </c:pt>
                <c:pt idx="27">
                  <c:v>93.57</c:v>
                </c:pt>
                <c:pt idx="28">
                  <c:v>100.29</c:v>
                </c:pt>
                <c:pt idx="29">
                  <c:v>107.08</c:v>
                </c:pt>
                <c:pt idx="30">
                  <c:v>115.51</c:v>
                </c:pt>
                <c:pt idx="31">
                  <c:v>121.56</c:v>
                </c:pt>
                <c:pt idx="32">
                  <c:v>129.97</c:v>
                </c:pt>
                <c:pt idx="33">
                  <c:v>136.54</c:v>
                </c:pt>
                <c:pt idx="34">
                  <c:v>143.85</c:v>
                </c:pt>
                <c:pt idx="35">
                  <c:v>153.71</c:v>
                </c:pt>
                <c:pt idx="36">
                  <c:v>165.68</c:v>
                </c:pt>
                <c:pt idx="37">
                  <c:v>180.46</c:v>
                </c:pt>
                <c:pt idx="38">
                  <c:v>199.63</c:v>
                </c:pt>
                <c:pt idx="39">
                  <c:v>230.35</c:v>
                </c:pt>
                <c:pt idx="40">
                  <c:v>274.26</c:v>
                </c:pt>
                <c:pt idx="41">
                  <c:v>352.86</c:v>
                </c:pt>
                <c:pt idx="42">
                  <c:v>541.91</c:v>
                </c:pt>
                <c:pt idx="43">
                  <c:v>1301.3699999999999</c:v>
                </c:pt>
                <c:pt idx="44">
                  <c:v>77.89</c:v>
                </c:pt>
                <c:pt idx="45">
                  <c:v>77.98</c:v>
                </c:pt>
                <c:pt idx="46">
                  <c:v>79.150000000000006</c:v>
                </c:pt>
                <c:pt idx="47">
                  <c:v>79.23</c:v>
                </c:pt>
                <c:pt idx="48">
                  <c:v>82.3</c:v>
                </c:pt>
                <c:pt idx="49">
                  <c:v>81.58</c:v>
                </c:pt>
                <c:pt idx="50">
                  <c:v>83.03</c:v>
                </c:pt>
                <c:pt idx="51">
                  <c:v>85.55</c:v>
                </c:pt>
                <c:pt idx="52">
                  <c:v>84.63</c:v>
                </c:pt>
                <c:pt idx="53">
                  <c:v>86.92</c:v>
                </c:pt>
                <c:pt idx="54">
                  <c:v>87.62</c:v>
                </c:pt>
                <c:pt idx="55">
                  <c:v>88.51</c:v>
                </c:pt>
                <c:pt idx="56">
                  <c:v>91.4</c:v>
                </c:pt>
                <c:pt idx="57">
                  <c:v>92.66</c:v>
                </c:pt>
                <c:pt idx="58">
                  <c:v>95.08</c:v>
                </c:pt>
                <c:pt idx="59">
                  <c:v>100.42</c:v>
                </c:pt>
                <c:pt idx="60">
                  <c:v>12.07</c:v>
                </c:pt>
                <c:pt idx="61">
                  <c:v>13.96</c:v>
                </c:pt>
                <c:pt idx="62">
                  <c:v>16.809999999999999</c:v>
                </c:pt>
                <c:pt idx="63">
                  <c:v>22.16</c:v>
                </c:pt>
                <c:pt idx="64">
                  <c:v>35.299999999999997</c:v>
                </c:pt>
                <c:pt idx="65">
                  <c:v>87.54</c:v>
                </c:pt>
                <c:pt idx="66">
                  <c:v>11.2</c:v>
                </c:pt>
                <c:pt idx="67">
                  <c:v>11.36</c:v>
                </c:pt>
                <c:pt idx="68">
                  <c:v>12.53</c:v>
                </c:pt>
                <c:pt idx="69">
                  <c:v>13.57</c:v>
                </c:pt>
                <c:pt idx="70">
                  <c:v>14.76</c:v>
                </c:pt>
                <c:pt idx="71">
                  <c:v>15.8</c:v>
                </c:pt>
                <c:pt idx="72">
                  <c:v>16.91</c:v>
                </c:pt>
                <c:pt idx="73">
                  <c:v>17.899999999999999</c:v>
                </c:pt>
                <c:pt idx="74">
                  <c:v>18.73</c:v>
                </c:pt>
                <c:pt idx="75">
                  <c:v>20.09</c:v>
                </c:pt>
                <c:pt idx="76">
                  <c:v>21.04</c:v>
                </c:pt>
                <c:pt idx="77">
                  <c:v>22.12</c:v>
                </c:pt>
                <c:pt idx="78">
                  <c:v>23.8</c:v>
                </c:pt>
                <c:pt idx="79">
                  <c:v>25.75</c:v>
                </c:pt>
                <c:pt idx="80">
                  <c:v>27.54</c:v>
                </c:pt>
                <c:pt idx="81">
                  <c:v>29.98</c:v>
                </c:pt>
                <c:pt idx="82">
                  <c:v>34.18</c:v>
                </c:pt>
                <c:pt idx="83">
                  <c:v>38.83</c:v>
                </c:pt>
                <c:pt idx="84">
                  <c:v>46.47</c:v>
                </c:pt>
                <c:pt idx="85">
                  <c:v>65.91</c:v>
                </c:pt>
                <c:pt idx="86">
                  <c:v>161.97999999999999</c:v>
                </c:pt>
                <c:pt idx="87">
                  <c:v>24.25</c:v>
                </c:pt>
                <c:pt idx="88">
                  <c:v>24.67</c:v>
                </c:pt>
                <c:pt idx="89">
                  <c:v>27.84</c:v>
                </c:pt>
                <c:pt idx="90">
                  <c:v>31.46</c:v>
                </c:pt>
                <c:pt idx="91">
                  <c:v>35.33</c:v>
                </c:pt>
                <c:pt idx="92">
                  <c:v>39.15</c:v>
                </c:pt>
                <c:pt idx="93">
                  <c:v>42.77</c:v>
                </c:pt>
                <c:pt idx="94">
                  <c:v>46.47</c:v>
                </c:pt>
                <c:pt idx="95">
                  <c:v>49.6</c:v>
                </c:pt>
                <c:pt idx="96">
                  <c:v>53.33</c:v>
                </c:pt>
                <c:pt idx="97">
                  <c:v>56.58</c:v>
                </c:pt>
                <c:pt idx="98">
                  <c:v>59.9</c:v>
                </c:pt>
                <c:pt idx="99">
                  <c:v>64.33</c:v>
                </c:pt>
                <c:pt idx="100">
                  <c:v>70.11</c:v>
                </c:pt>
                <c:pt idx="101">
                  <c:v>77.17</c:v>
                </c:pt>
                <c:pt idx="102">
                  <c:v>85.67</c:v>
                </c:pt>
                <c:pt idx="103">
                  <c:v>99.37</c:v>
                </c:pt>
                <c:pt idx="104">
                  <c:v>118.7</c:v>
                </c:pt>
                <c:pt idx="105">
                  <c:v>154.93</c:v>
                </c:pt>
                <c:pt idx="106">
                  <c:v>240.76</c:v>
                </c:pt>
                <c:pt idx="107">
                  <c:v>589.16999999999996</c:v>
                </c:pt>
                <c:pt idx="108">
                  <c:v>24.38</c:v>
                </c:pt>
                <c:pt idx="109">
                  <c:v>24.56</c:v>
                </c:pt>
                <c:pt idx="110">
                  <c:v>26.65</c:v>
                </c:pt>
                <c:pt idx="111">
                  <c:v>29.35</c:v>
                </c:pt>
                <c:pt idx="112">
                  <c:v>32.380000000000003</c:v>
                </c:pt>
                <c:pt idx="113">
                  <c:v>35.200000000000003</c:v>
                </c:pt>
                <c:pt idx="114">
                  <c:v>38.1</c:v>
                </c:pt>
                <c:pt idx="115">
                  <c:v>41.6</c:v>
                </c:pt>
                <c:pt idx="116">
                  <c:v>43.62</c:v>
                </c:pt>
                <c:pt idx="117">
                  <c:v>46.66</c:v>
                </c:pt>
                <c:pt idx="118">
                  <c:v>49.1</c:v>
                </c:pt>
                <c:pt idx="119">
                  <c:v>51.87</c:v>
                </c:pt>
                <c:pt idx="120">
                  <c:v>83.26</c:v>
                </c:pt>
                <c:pt idx="121">
                  <c:v>86.18</c:v>
                </c:pt>
                <c:pt idx="122">
                  <c:v>89.96</c:v>
                </c:pt>
                <c:pt idx="123">
                  <c:v>95.16</c:v>
                </c:pt>
                <c:pt idx="124">
                  <c:v>102.51</c:v>
                </c:pt>
                <c:pt idx="125">
                  <c:v>115.44</c:v>
                </c:pt>
                <c:pt idx="126">
                  <c:v>134.4</c:v>
                </c:pt>
                <c:pt idx="127">
                  <c:v>173.83</c:v>
                </c:pt>
                <c:pt idx="128">
                  <c:v>280.14999999999998</c:v>
                </c:pt>
                <c:pt idx="129">
                  <c:v>781.66</c:v>
                </c:pt>
                <c:pt idx="130">
                  <c:v>88.07</c:v>
                </c:pt>
                <c:pt idx="131">
                  <c:v>89.14</c:v>
                </c:pt>
                <c:pt idx="132">
                  <c:v>96.88</c:v>
                </c:pt>
                <c:pt idx="133">
                  <c:v>107.43</c:v>
                </c:pt>
                <c:pt idx="134">
                  <c:v>119.62</c:v>
                </c:pt>
                <c:pt idx="135">
                  <c:v>133.03</c:v>
                </c:pt>
                <c:pt idx="136">
                  <c:v>146.61000000000001</c:v>
                </c:pt>
                <c:pt idx="137">
                  <c:v>160.29</c:v>
                </c:pt>
                <c:pt idx="138">
                  <c:v>172.4</c:v>
                </c:pt>
                <c:pt idx="139">
                  <c:v>187.06</c:v>
                </c:pt>
                <c:pt idx="140">
                  <c:v>199.93</c:v>
                </c:pt>
                <c:pt idx="141">
                  <c:v>213.8</c:v>
                </c:pt>
                <c:pt idx="142">
                  <c:v>230.91</c:v>
                </c:pt>
                <c:pt idx="143">
                  <c:v>254.01</c:v>
                </c:pt>
                <c:pt idx="144">
                  <c:v>282.49</c:v>
                </c:pt>
                <c:pt idx="145">
                  <c:v>317.14</c:v>
                </c:pt>
                <c:pt idx="146">
                  <c:v>374.48</c:v>
                </c:pt>
                <c:pt idx="147">
                  <c:v>456</c:v>
                </c:pt>
                <c:pt idx="148">
                  <c:v>605.26</c:v>
                </c:pt>
                <c:pt idx="149">
                  <c:v>979.58</c:v>
                </c:pt>
                <c:pt idx="150">
                  <c:v>2441.2800000000002</c:v>
                </c:pt>
                <c:pt idx="151">
                  <c:v>22.89</c:v>
                </c:pt>
                <c:pt idx="152">
                  <c:v>23</c:v>
                </c:pt>
                <c:pt idx="153">
                  <c:v>24.42</c:v>
                </c:pt>
                <c:pt idx="154">
                  <c:v>25.06</c:v>
                </c:pt>
                <c:pt idx="155">
                  <c:v>25.95</c:v>
                </c:pt>
                <c:pt idx="156">
                  <c:v>27.25</c:v>
                </c:pt>
                <c:pt idx="157">
                  <c:v>28.32</c:v>
                </c:pt>
                <c:pt idx="158">
                  <c:v>29.21</c:v>
                </c:pt>
                <c:pt idx="159">
                  <c:v>30.32</c:v>
                </c:pt>
              </c:numCache>
            </c:numRef>
          </c:xVal>
          <c:yVal>
            <c:numRef>
              <c:f>'Run 1 (Alex)'!$D$23:$D$42</c:f>
              <c:numCache>
                <c:formatCode>General</c:formatCode>
                <c:ptCount val="20"/>
                <c:pt idx="0">
                  <c:v>28.69</c:v>
                </c:pt>
                <c:pt idx="1">
                  <c:v>31.21</c:v>
                </c:pt>
                <c:pt idx="2">
                  <c:v>35.69</c:v>
                </c:pt>
                <c:pt idx="3">
                  <c:v>39.75</c:v>
                </c:pt>
                <c:pt idx="4">
                  <c:v>42.85</c:v>
                </c:pt>
                <c:pt idx="5">
                  <c:v>46.01</c:v>
                </c:pt>
                <c:pt idx="6">
                  <c:v>48.81</c:v>
                </c:pt>
                <c:pt idx="7">
                  <c:v>50.97</c:v>
                </c:pt>
                <c:pt idx="8">
                  <c:v>53.2</c:v>
                </c:pt>
                <c:pt idx="9">
                  <c:v>55.17</c:v>
                </c:pt>
                <c:pt idx="10">
                  <c:v>56.89</c:v>
                </c:pt>
                <c:pt idx="11">
                  <c:v>59.09</c:v>
                </c:pt>
                <c:pt idx="12">
                  <c:v>61.7</c:v>
                </c:pt>
                <c:pt idx="13">
                  <c:v>64.83</c:v>
                </c:pt>
                <c:pt idx="14">
                  <c:v>68.62</c:v>
                </c:pt>
                <c:pt idx="15">
                  <c:v>72.819999999999993</c:v>
                </c:pt>
                <c:pt idx="16">
                  <c:v>77.91</c:v>
                </c:pt>
                <c:pt idx="17">
                  <c:v>84.6</c:v>
                </c:pt>
                <c:pt idx="18">
                  <c:v>98.54</c:v>
                </c:pt>
                <c:pt idx="19">
                  <c:v>126.09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07-4BB4-ACBB-633930E8A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754875395429392"/>
              <c:y val="0.921921669763318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04713117496235"/>
          <c:y val="0.12039579559597302"/>
          <c:w val="0.70606402662916923"/>
          <c:h val="0.71972200658016339"/>
        </c:manualLayout>
      </c:layout>
      <c:scatterChart>
        <c:scatterStyle val="lineMarker"/>
        <c:varyColors val="0"/>
        <c:ser>
          <c:idx val="2"/>
          <c:order val="1"/>
          <c:tx>
            <c:strRef>
              <c:f>'Run 1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(Alex)'!$E$23:$E$43</c:f>
              <c:numCache>
                <c:formatCode>General</c:formatCode>
                <c:ptCount val="21"/>
                <c:pt idx="0">
                  <c:v>11.51</c:v>
                </c:pt>
                <c:pt idx="1">
                  <c:v>11.65</c:v>
                </c:pt>
                <c:pt idx="2">
                  <c:v>12.66</c:v>
                </c:pt>
                <c:pt idx="3">
                  <c:v>13.6</c:v>
                </c:pt>
                <c:pt idx="4">
                  <c:v>14.42</c:v>
                </c:pt>
                <c:pt idx="5">
                  <c:v>15.27</c:v>
                </c:pt>
                <c:pt idx="6">
                  <c:v>15.89</c:v>
                </c:pt>
                <c:pt idx="7">
                  <c:v>16.64</c:v>
                </c:pt>
                <c:pt idx="8">
                  <c:v>17.22</c:v>
                </c:pt>
                <c:pt idx="9">
                  <c:v>17.91</c:v>
                </c:pt>
                <c:pt idx="10">
                  <c:v>18.54</c:v>
                </c:pt>
                <c:pt idx="11">
                  <c:v>19.18</c:v>
                </c:pt>
                <c:pt idx="12">
                  <c:v>19.989999999999998</c:v>
                </c:pt>
                <c:pt idx="13">
                  <c:v>21.02</c:v>
                </c:pt>
                <c:pt idx="14">
                  <c:v>22.27</c:v>
                </c:pt>
                <c:pt idx="15">
                  <c:v>23.82</c:v>
                </c:pt>
                <c:pt idx="16">
                  <c:v>26.42</c:v>
                </c:pt>
                <c:pt idx="17">
                  <c:v>30.06</c:v>
                </c:pt>
                <c:pt idx="18">
                  <c:v>36.57</c:v>
                </c:pt>
                <c:pt idx="19">
                  <c:v>50.8</c:v>
                </c:pt>
                <c:pt idx="20">
                  <c:v>100.33</c:v>
                </c:pt>
              </c:numCache>
            </c:numRef>
          </c:xVal>
          <c:yVal>
            <c:numRef>
              <c:f>'Run 1 (Alex)'!$D$23:$D$43</c:f>
              <c:numCache>
                <c:formatCode>General</c:formatCode>
                <c:ptCount val="21"/>
                <c:pt idx="0">
                  <c:v>28.69</c:v>
                </c:pt>
                <c:pt idx="1">
                  <c:v>31.21</c:v>
                </c:pt>
                <c:pt idx="2">
                  <c:v>35.69</c:v>
                </c:pt>
                <c:pt idx="3">
                  <c:v>39.75</c:v>
                </c:pt>
                <c:pt idx="4">
                  <c:v>42.85</c:v>
                </c:pt>
                <c:pt idx="5">
                  <c:v>46.01</c:v>
                </c:pt>
                <c:pt idx="6">
                  <c:v>48.81</c:v>
                </c:pt>
                <c:pt idx="7">
                  <c:v>50.97</c:v>
                </c:pt>
                <c:pt idx="8">
                  <c:v>53.2</c:v>
                </c:pt>
                <c:pt idx="9">
                  <c:v>55.17</c:v>
                </c:pt>
                <c:pt idx="10">
                  <c:v>56.89</c:v>
                </c:pt>
                <c:pt idx="11">
                  <c:v>59.09</c:v>
                </c:pt>
                <c:pt idx="12">
                  <c:v>61.7</c:v>
                </c:pt>
                <c:pt idx="13">
                  <c:v>64.83</c:v>
                </c:pt>
                <c:pt idx="14">
                  <c:v>68.62</c:v>
                </c:pt>
                <c:pt idx="15">
                  <c:v>72.819999999999993</c:v>
                </c:pt>
                <c:pt idx="16">
                  <c:v>77.91</c:v>
                </c:pt>
                <c:pt idx="17">
                  <c:v>84.6</c:v>
                </c:pt>
                <c:pt idx="18">
                  <c:v>98.54</c:v>
                </c:pt>
                <c:pt idx="19">
                  <c:v>126.09</c:v>
                </c:pt>
                <c:pt idx="20">
                  <c:v>189.78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C-4A00-880D-1D0B2D2AC3E2}"/>
            </c:ext>
          </c:extLst>
        </c:ser>
        <c:ser>
          <c:idx val="3"/>
          <c:order val="2"/>
          <c:tx>
            <c:strRef>
              <c:f>'Run 1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(Alex)'!$E$44:$E$64</c:f>
              <c:numCache>
                <c:formatCode>General</c:formatCode>
                <c:ptCount val="21"/>
                <c:pt idx="0">
                  <c:v>22.08</c:v>
                </c:pt>
                <c:pt idx="1">
                  <c:v>22.18</c:v>
                </c:pt>
                <c:pt idx="2">
                  <c:v>23.84</c:v>
                </c:pt>
                <c:pt idx="3">
                  <c:v>25.61</c:v>
                </c:pt>
                <c:pt idx="4">
                  <c:v>27.83</c:v>
                </c:pt>
                <c:pt idx="5">
                  <c:v>29.98</c:v>
                </c:pt>
                <c:pt idx="6">
                  <c:v>32.21</c:v>
                </c:pt>
                <c:pt idx="7">
                  <c:v>34.53</c:v>
                </c:pt>
                <c:pt idx="8">
                  <c:v>36.270000000000003</c:v>
                </c:pt>
                <c:pt idx="9">
                  <c:v>38.630000000000003</c:v>
                </c:pt>
                <c:pt idx="10">
                  <c:v>40.659999999999997</c:v>
                </c:pt>
                <c:pt idx="11">
                  <c:v>42.86</c:v>
                </c:pt>
                <c:pt idx="12">
                  <c:v>45.72</c:v>
                </c:pt>
                <c:pt idx="13">
                  <c:v>49.32</c:v>
                </c:pt>
                <c:pt idx="14">
                  <c:v>53.93</c:v>
                </c:pt>
                <c:pt idx="15">
                  <c:v>59.47</c:v>
                </c:pt>
                <c:pt idx="16">
                  <c:v>68.87</c:v>
                </c:pt>
                <c:pt idx="17">
                  <c:v>82.41</c:v>
                </c:pt>
                <c:pt idx="18">
                  <c:v>107.61</c:v>
                </c:pt>
                <c:pt idx="19">
                  <c:v>167.75</c:v>
                </c:pt>
                <c:pt idx="20">
                  <c:v>427.66</c:v>
                </c:pt>
              </c:numCache>
            </c:numRef>
          </c:xVal>
          <c:yVal>
            <c:numRef>
              <c:f>'Run 1 (Alex)'!$D$44:$D$64</c:f>
              <c:numCache>
                <c:formatCode>General</c:formatCode>
                <c:ptCount val="21"/>
                <c:pt idx="0">
                  <c:v>56.49</c:v>
                </c:pt>
                <c:pt idx="1">
                  <c:v>67.41</c:v>
                </c:pt>
                <c:pt idx="2">
                  <c:v>89.88</c:v>
                </c:pt>
                <c:pt idx="3">
                  <c:v>109.97</c:v>
                </c:pt>
                <c:pt idx="4">
                  <c:v>128.1</c:v>
                </c:pt>
                <c:pt idx="5">
                  <c:v>144.68</c:v>
                </c:pt>
                <c:pt idx="6">
                  <c:v>159.85</c:v>
                </c:pt>
                <c:pt idx="7">
                  <c:v>174.7</c:v>
                </c:pt>
                <c:pt idx="8">
                  <c:v>186.7</c:v>
                </c:pt>
                <c:pt idx="9">
                  <c:v>200.49</c:v>
                </c:pt>
                <c:pt idx="10">
                  <c:v>211.85</c:v>
                </c:pt>
                <c:pt idx="11">
                  <c:v>223.8</c:v>
                </c:pt>
                <c:pt idx="12">
                  <c:v>238.79</c:v>
                </c:pt>
                <c:pt idx="13">
                  <c:v>257.77999999999997</c:v>
                </c:pt>
                <c:pt idx="14">
                  <c:v>280.24</c:v>
                </c:pt>
                <c:pt idx="15">
                  <c:v>306.01</c:v>
                </c:pt>
                <c:pt idx="16">
                  <c:v>346.69</c:v>
                </c:pt>
                <c:pt idx="17">
                  <c:v>402.13</c:v>
                </c:pt>
                <c:pt idx="18">
                  <c:v>501.59</c:v>
                </c:pt>
                <c:pt idx="19">
                  <c:v>714.13</c:v>
                </c:pt>
                <c:pt idx="20">
                  <c:v>1268.97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9C-4A00-880D-1D0B2D2AC3E2}"/>
            </c:ext>
          </c:extLst>
        </c:ser>
        <c:ser>
          <c:idx val="4"/>
          <c:order val="3"/>
          <c:tx>
            <c:strRef>
              <c:f>'Run 1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(Alex)'!$E$65:$E$85</c:f>
              <c:numCache>
                <c:formatCode>General</c:formatCode>
                <c:ptCount val="21"/>
                <c:pt idx="0">
                  <c:v>78.69</c:v>
                </c:pt>
                <c:pt idx="1">
                  <c:v>78.430000000000007</c:v>
                </c:pt>
                <c:pt idx="2">
                  <c:v>82.89</c:v>
                </c:pt>
                <c:pt idx="3">
                  <c:v>85.77</c:v>
                </c:pt>
                <c:pt idx="4">
                  <c:v>93.57</c:v>
                </c:pt>
                <c:pt idx="5">
                  <c:v>100.29</c:v>
                </c:pt>
                <c:pt idx="6">
                  <c:v>107.08</c:v>
                </c:pt>
                <c:pt idx="7">
                  <c:v>115.51</c:v>
                </c:pt>
                <c:pt idx="8">
                  <c:v>121.56</c:v>
                </c:pt>
                <c:pt idx="9">
                  <c:v>129.97</c:v>
                </c:pt>
                <c:pt idx="10">
                  <c:v>136.54</c:v>
                </c:pt>
                <c:pt idx="11">
                  <c:v>143.85</c:v>
                </c:pt>
                <c:pt idx="12">
                  <c:v>153.71</c:v>
                </c:pt>
                <c:pt idx="13">
                  <c:v>165.68</c:v>
                </c:pt>
                <c:pt idx="14">
                  <c:v>180.46</c:v>
                </c:pt>
                <c:pt idx="15">
                  <c:v>199.63</c:v>
                </c:pt>
                <c:pt idx="16">
                  <c:v>230.35</c:v>
                </c:pt>
                <c:pt idx="17">
                  <c:v>274.26</c:v>
                </c:pt>
                <c:pt idx="18">
                  <c:v>352.86</c:v>
                </c:pt>
                <c:pt idx="19">
                  <c:v>541.91</c:v>
                </c:pt>
                <c:pt idx="20">
                  <c:v>1301.3699999999999</c:v>
                </c:pt>
              </c:numCache>
            </c:numRef>
          </c:xVal>
          <c:yVal>
            <c:numRef>
              <c:f>'Run 1 (Alex)'!$D$65:$D$85</c:f>
              <c:numCache>
                <c:formatCode>General</c:formatCode>
                <c:ptCount val="21"/>
                <c:pt idx="0">
                  <c:v>194.98</c:v>
                </c:pt>
                <c:pt idx="1">
                  <c:v>226.75</c:v>
                </c:pt>
                <c:pt idx="2">
                  <c:v>293.98</c:v>
                </c:pt>
                <c:pt idx="3">
                  <c:v>350.63</c:v>
                </c:pt>
                <c:pt idx="4">
                  <c:v>403.16</c:v>
                </c:pt>
                <c:pt idx="5">
                  <c:v>454.23</c:v>
                </c:pt>
                <c:pt idx="6">
                  <c:v>494.4</c:v>
                </c:pt>
                <c:pt idx="7">
                  <c:v>558.29</c:v>
                </c:pt>
                <c:pt idx="8">
                  <c:v>585.76</c:v>
                </c:pt>
                <c:pt idx="9">
                  <c:v>616.94000000000005</c:v>
                </c:pt>
                <c:pt idx="10">
                  <c:v>640.01</c:v>
                </c:pt>
                <c:pt idx="11">
                  <c:v>665.99</c:v>
                </c:pt>
                <c:pt idx="12">
                  <c:v>827.87</c:v>
                </c:pt>
                <c:pt idx="13">
                  <c:v>953.58</c:v>
                </c:pt>
                <c:pt idx="14">
                  <c:v>1003.68</c:v>
                </c:pt>
                <c:pt idx="15">
                  <c:v>1061.1199999999999</c:v>
                </c:pt>
                <c:pt idx="16">
                  <c:v>1140.33</c:v>
                </c:pt>
                <c:pt idx="17">
                  <c:v>1249.6300000000001</c:v>
                </c:pt>
                <c:pt idx="18">
                  <c:v>1592.9</c:v>
                </c:pt>
                <c:pt idx="19">
                  <c:v>2204.67</c:v>
                </c:pt>
                <c:pt idx="20">
                  <c:v>3842.23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9C-4A00-880D-1D0B2D2AC3E2}"/>
            </c:ext>
          </c:extLst>
        </c:ser>
        <c:ser>
          <c:idx val="5"/>
          <c:order val="4"/>
          <c:tx>
            <c:strRef>
              <c:f>'Run 1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(Alex)'!$E$86:$E$106</c:f>
              <c:numCache>
                <c:formatCode>General</c:formatCode>
                <c:ptCount val="21"/>
                <c:pt idx="0">
                  <c:v>77.89</c:v>
                </c:pt>
                <c:pt idx="1">
                  <c:v>77.98</c:v>
                </c:pt>
                <c:pt idx="2">
                  <c:v>79.150000000000006</c:v>
                </c:pt>
                <c:pt idx="3">
                  <c:v>79.23</c:v>
                </c:pt>
                <c:pt idx="4">
                  <c:v>82.3</c:v>
                </c:pt>
                <c:pt idx="5">
                  <c:v>81.58</c:v>
                </c:pt>
                <c:pt idx="6">
                  <c:v>83.03</c:v>
                </c:pt>
                <c:pt idx="7">
                  <c:v>85.55</c:v>
                </c:pt>
                <c:pt idx="8">
                  <c:v>84.63</c:v>
                </c:pt>
                <c:pt idx="9">
                  <c:v>86.92</c:v>
                </c:pt>
                <c:pt idx="10">
                  <c:v>87.62</c:v>
                </c:pt>
                <c:pt idx="11">
                  <c:v>88.51</c:v>
                </c:pt>
                <c:pt idx="12">
                  <c:v>91.4</c:v>
                </c:pt>
                <c:pt idx="13">
                  <c:v>92.66</c:v>
                </c:pt>
                <c:pt idx="14">
                  <c:v>95.08</c:v>
                </c:pt>
                <c:pt idx="15">
                  <c:v>100.42</c:v>
                </c:pt>
                <c:pt idx="16">
                  <c:v>107.55</c:v>
                </c:pt>
                <c:pt idx="17">
                  <c:v>117.09</c:v>
                </c:pt>
                <c:pt idx="18">
                  <c:v>134.62</c:v>
                </c:pt>
                <c:pt idx="19">
                  <c:v>191</c:v>
                </c:pt>
                <c:pt idx="20">
                  <c:v>423.08</c:v>
                </c:pt>
              </c:numCache>
            </c:numRef>
          </c:xVal>
          <c:yVal>
            <c:numRef>
              <c:f>'Run 1 (Alex)'!$D$86:$D$106</c:f>
              <c:numCache>
                <c:formatCode>General</c:formatCode>
                <c:ptCount val="21"/>
                <c:pt idx="0">
                  <c:v>176.36</c:v>
                </c:pt>
                <c:pt idx="1">
                  <c:v>181.82</c:v>
                </c:pt>
                <c:pt idx="2">
                  <c:v>189.8</c:v>
                </c:pt>
                <c:pt idx="3">
                  <c:v>202.28</c:v>
                </c:pt>
                <c:pt idx="4">
                  <c:v>214.14</c:v>
                </c:pt>
                <c:pt idx="5">
                  <c:v>230.79</c:v>
                </c:pt>
                <c:pt idx="6">
                  <c:v>252.84</c:v>
                </c:pt>
                <c:pt idx="7">
                  <c:v>290.75</c:v>
                </c:pt>
                <c:pt idx="8">
                  <c:v>302.13</c:v>
                </c:pt>
                <c:pt idx="9">
                  <c:v>322.7</c:v>
                </c:pt>
                <c:pt idx="10">
                  <c:v>332.3</c:v>
                </c:pt>
                <c:pt idx="11">
                  <c:v>345.95</c:v>
                </c:pt>
                <c:pt idx="12">
                  <c:v>552.80999999999995</c:v>
                </c:pt>
                <c:pt idx="13">
                  <c:v>653.19000000000005</c:v>
                </c:pt>
                <c:pt idx="14">
                  <c:v>669.71</c:v>
                </c:pt>
                <c:pt idx="15">
                  <c:v>694.24</c:v>
                </c:pt>
                <c:pt idx="16">
                  <c:v>728.85</c:v>
                </c:pt>
                <c:pt idx="17">
                  <c:v>785.07</c:v>
                </c:pt>
                <c:pt idx="18">
                  <c:v>1029.8499999999999</c:v>
                </c:pt>
                <c:pt idx="19">
                  <c:v>1415.38</c:v>
                </c:pt>
                <c:pt idx="20">
                  <c:v>2447.96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9C-4A00-880D-1D0B2D2AC3E2}"/>
            </c:ext>
          </c:extLst>
        </c:ser>
        <c:ser>
          <c:idx val="0"/>
          <c:order val="5"/>
          <c:tx>
            <c:strRef>
              <c:f>'Run 1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(Alex)'!$E$107:$E$127</c:f>
              <c:numCache>
                <c:formatCode>General</c:formatCode>
                <c:ptCount val="21"/>
                <c:pt idx="0">
                  <c:v>6.5</c:v>
                </c:pt>
                <c:pt idx="1">
                  <c:v>6.52</c:v>
                </c:pt>
                <c:pt idx="2">
                  <c:v>6.74</c:v>
                </c:pt>
                <c:pt idx="3">
                  <c:v>6.9</c:v>
                </c:pt>
                <c:pt idx="4">
                  <c:v>7.22</c:v>
                </c:pt>
                <c:pt idx="5">
                  <c:v>7.34</c:v>
                </c:pt>
                <c:pt idx="6">
                  <c:v>7.58</c:v>
                </c:pt>
                <c:pt idx="7">
                  <c:v>7.92</c:v>
                </c:pt>
                <c:pt idx="8">
                  <c:v>8.1300000000000008</c:v>
                </c:pt>
                <c:pt idx="9">
                  <c:v>8.51</c:v>
                </c:pt>
                <c:pt idx="10">
                  <c:v>8.7899999999999991</c:v>
                </c:pt>
                <c:pt idx="11">
                  <c:v>9.1199999999999992</c:v>
                </c:pt>
                <c:pt idx="12">
                  <c:v>9.67</c:v>
                </c:pt>
                <c:pt idx="13">
                  <c:v>10.23</c:v>
                </c:pt>
                <c:pt idx="14">
                  <c:v>10.95</c:v>
                </c:pt>
                <c:pt idx="15">
                  <c:v>12.07</c:v>
                </c:pt>
                <c:pt idx="16">
                  <c:v>13.96</c:v>
                </c:pt>
                <c:pt idx="17">
                  <c:v>16.809999999999999</c:v>
                </c:pt>
                <c:pt idx="18">
                  <c:v>22.16</c:v>
                </c:pt>
                <c:pt idx="19">
                  <c:v>35.299999999999997</c:v>
                </c:pt>
                <c:pt idx="20">
                  <c:v>87.54</c:v>
                </c:pt>
              </c:numCache>
            </c:numRef>
          </c:xVal>
          <c:yVal>
            <c:numRef>
              <c:f>'Run 1 (Alex)'!$D$107:$D$127</c:f>
              <c:numCache>
                <c:formatCode>General</c:formatCode>
                <c:ptCount val="21"/>
                <c:pt idx="0">
                  <c:v>14.7</c:v>
                </c:pt>
                <c:pt idx="1">
                  <c:v>16.18</c:v>
                </c:pt>
                <c:pt idx="2">
                  <c:v>20.7</c:v>
                </c:pt>
                <c:pt idx="3">
                  <c:v>24.78</c:v>
                </c:pt>
                <c:pt idx="4">
                  <c:v>28.76</c:v>
                </c:pt>
                <c:pt idx="5">
                  <c:v>32.35</c:v>
                </c:pt>
                <c:pt idx="6">
                  <c:v>35.659999999999997</c:v>
                </c:pt>
                <c:pt idx="7">
                  <c:v>38.74</c:v>
                </c:pt>
                <c:pt idx="8">
                  <c:v>41.26</c:v>
                </c:pt>
                <c:pt idx="9">
                  <c:v>44.21</c:v>
                </c:pt>
                <c:pt idx="10">
                  <c:v>46.92</c:v>
                </c:pt>
                <c:pt idx="11">
                  <c:v>49.42</c:v>
                </c:pt>
                <c:pt idx="12">
                  <c:v>52.81</c:v>
                </c:pt>
                <c:pt idx="13">
                  <c:v>57.17</c:v>
                </c:pt>
                <c:pt idx="14">
                  <c:v>62.06</c:v>
                </c:pt>
                <c:pt idx="15">
                  <c:v>67.709999999999994</c:v>
                </c:pt>
                <c:pt idx="16">
                  <c:v>76.58</c:v>
                </c:pt>
                <c:pt idx="17">
                  <c:v>88.73</c:v>
                </c:pt>
                <c:pt idx="18">
                  <c:v>110.25</c:v>
                </c:pt>
                <c:pt idx="19">
                  <c:v>157.09</c:v>
                </c:pt>
                <c:pt idx="20">
                  <c:v>287.3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9C-4A00-880D-1D0B2D2AC3E2}"/>
            </c:ext>
          </c:extLst>
        </c:ser>
        <c:ser>
          <c:idx val="6"/>
          <c:order val="6"/>
          <c:tx>
            <c:strRef>
              <c:f>'Run 1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(Alex)'!$E$128:$E$148</c:f>
              <c:numCache>
                <c:formatCode>General</c:formatCode>
                <c:ptCount val="21"/>
                <c:pt idx="0">
                  <c:v>11.2</c:v>
                </c:pt>
                <c:pt idx="1">
                  <c:v>11.36</c:v>
                </c:pt>
                <c:pt idx="2">
                  <c:v>12.53</c:v>
                </c:pt>
                <c:pt idx="3">
                  <c:v>13.57</c:v>
                </c:pt>
                <c:pt idx="4">
                  <c:v>14.76</c:v>
                </c:pt>
                <c:pt idx="5">
                  <c:v>15.8</c:v>
                </c:pt>
                <c:pt idx="6">
                  <c:v>16.91</c:v>
                </c:pt>
                <c:pt idx="7">
                  <c:v>17.899999999999999</c:v>
                </c:pt>
                <c:pt idx="8">
                  <c:v>18.73</c:v>
                </c:pt>
                <c:pt idx="9">
                  <c:v>20.09</c:v>
                </c:pt>
                <c:pt idx="10">
                  <c:v>21.04</c:v>
                </c:pt>
                <c:pt idx="11">
                  <c:v>22.12</c:v>
                </c:pt>
                <c:pt idx="12">
                  <c:v>23.8</c:v>
                </c:pt>
                <c:pt idx="13">
                  <c:v>25.75</c:v>
                </c:pt>
                <c:pt idx="14">
                  <c:v>27.54</c:v>
                </c:pt>
                <c:pt idx="15">
                  <c:v>29.98</c:v>
                </c:pt>
                <c:pt idx="16">
                  <c:v>34.18</c:v>
                </c:pt>
                <c:pt idx="17">
                  <c:v>38.83</c:v>
                </c:pt>
                <c:pt idx="18">
                  <c:v>46.47</c:v>
                </c:pt>
                <c:pt idx="19">
                  <c:v>65.91</c:v>
                </c:pt>
                <c:pt idx="20">
                  <c:v>161.97999999999999</c:v>
                </c:pt>
              </c:numCache>
            </c:numRef>
          </c:xVal>
          <c:yVal>
            <c:numRef>
              <c:f>'Run 1 (Alex)'!$D$128:$D$148</c:f>
              <c:numCache>
                <c:formatCode>General</c:formatCode>
                <c:ptCount val="21"/>
                <c:pt idx="0">
                  <c:v>25.47</c:v>
                </c:pt>
                <c:pt idx="1">
                  <c:v>29.1</c:v>
                </c:pt>
                <c:pt idx="2">
                  <c:v>35.9</c:v>
                </c:pt>
                <c:pt idx="3">
                  <c:v>42.4</c:v>
                </c:pt>
                <c:pt idx="4">
                  <c:v>48.89</c:v>
                </c:pt>
                <c:pt idx="5">
                  <c:v>54.49</c:v>
                </c:pt>
                <c:pt idx="6">
                  <c:v>58.9</c:v>
                </c:pt>
                <c:pt idx="7">
                  <c:v>65.58</c:v>
                </c:pt>
                <c:pt idx="8">
                  <c:v>70.03</c:v>
                </c:pt>
                <c:pt idx="9">
                  <c:v>73.5</c:v>
                </c:pt>
                <c:pt idx="10">
                  <c:v>75.73</c:v>
                </c:pt>
                <c:pt idx="11">
                  <c:v>78.260000000000005</c:v>
                </c:pt>
                <c:pt idx="12">
                  <c:v>87.75</c:v>
                </c:pt>
                <c:pt idx="13">
                  <c:v>95.27</c:v>
                </c:pt>
                <c:pt idx="14">
                  <c:v>98.99</c:v>
                </c:pt>
                <c:pt idx="15">
                  <c:v>103.56</c:v>
                </c:pt>
                <c:pt idx="16">
                  <c:v>111.44</c:v>
                </c:pt>
                <c:pt idx="17">
                  <c:v>119.8</c:v>
                </c:pt>
                <c:pt idx="18">
                  <c:v>144.46</c:v>
                </c:pt>
                <c:pt idx="19">
                  <c:v>191.02</c:v>
                </c:pt>
                <c:pt idx="20">
                  <c:v>321.24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9C-4A00-880D-1D0B2D2AC3E2}"/>
            </c:ext>
          </c:extLst>
        </c:ser>
        <c:ser>
          <c:idx val="7"/>
          <c:order val="7"/>
          <c:tx>
            <c:strRef>
              <c:f>'Run 1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(Alex)'!$E$149:$E$169</c:f>
              <c:numCache>
                <c:formatCode>General</c:formatCode>
                <c:ptCount val="21"/>
                <c:pt idx="0">
                  <c:v>24.25</c:v>
                </c:pt>
                <c:pt idx="1">
                  <c:v>24.67</c:v>
                </c:pt>
                <c:pt idx="2">
                  <c:v>27.84</c:v>
                </c:pt>
                <c:pt idx="3">
                  <c:v>31.46</c:v>
                </c:pt>
                <c:pt idx="4">
                  <c:v>35.33</c:v>
                </c:pt>
                <c:pt idx="5">
                  <c:v>39.15</c:v>
                </c:pt>
                <c:pt idx="6">
                  <c:v>42.77</c:v>
                </c:pt>
                <c:pt idx="7">
                  <c:v>46.47</c:v>
                </c:pt>
                <c:pt idx="8">
                  <c:v>49.6</c:v>
                </c:pt>
                <c:pt idx="9">
                  <c:v>53.33</c:v>
                </c:pt>
                <c:pt idx="10">
                  <c:v>56.58</c:v>
                </c:pt>
                <c:pt idx="11">
                  <c:v>59.9</c:v>
                </c:pt>
                <c:pt idx="12">
                  <c:v>64.33</c:v>
                </c:pt>
                <c:pt idx="13">
                  <c:v>70.11</c:v>
                </c:pt>
                <c:pt idx="14">
                  <c:v>77.17</c:v>
                </c:pt>
                <c:pt idx="15">
                  <c:v>85.67</c:v>
                </c:pt>
                <c:pt idx="16">
                  <c:v>99.37</c:v>
                </c:pt>
                <c:pt idx="17">
                  <c:v>118.7</c:v>
                </c:pt>
                <c:pt idx="18">
                  <c:v>154.93</c:v>
                </c:pt>
                <c:pt idx="19">
                  <c:v>240.76</c:v>
                </c:pt>
                <c:pt idx="20">
                  <c:v>589.16999999999996</c:v>
                </c:pt>
              </c:numCache>
            </c:numRef>
          </c:xVal>
          <c:yVal>
            <c:numRef>
              <c:f>'Run 1 (Alex)'!$D$149:$D$169</c:f>
              <c:numCache>
                <c:formatCode>General</c:formatCode>
                <c:ptCount val="21"/>
                <c:pt idx="0">
                  <c:v>66.319999999999993</c:v>
                </c:pt>
                <c:pt idx="1">
                  <c:v>78.63</c:v>
                </c:pt>
                <c:pt idx="2">
                  <c:v>104.66</c:v>
                </c:pt>
                <c:pt idx="3">
                  <c:v>127.75</c:v>
                </c:pt>
                <c:pt idx="4">
                  <c:v>147.81</c:v>
                </c:pt>
                <c:pt idx="5">
                  <c:v>167.16</c:v>
                </c:pt>
                <c:pt idx="6">
                  <c:v>185.63</c:v>
                </c:pt>
                <c:pt idx="7">
                  <c:v>203.22</c:v>
                </c:pt>
                <c:pt idx="8">
                  <c:v>216.95</c:v>
                </c:pt>
                <c:pt idx="9">
                  <c:v>232.04</c:v>
                </c:pt>
                <c:pt idx="10">
                  <c:v>245.08</c:v>
                </c:pt>
                <c:pt idx="11">
                  <c:v>258.58999999999997</c:v>
                </c:pt>
                <c:pt idx="12">
                  <c:v>275.48</c:v>
                </c:pt>
                <c:pt idx="13">
                  <c:v>296.82</c:v>
                </c:pt>
                <c:pt idx="14">
                  <c:v>320.97000000000003</c:v>
                </c:pt>
                <c:pt idx="15">
                  <c:v>349.3</c:v>
                </c:pt>
                <c:pt idx="16">
                  <c:v>392.46</c:v>
                </c:pt>
                <c:pt idx="17">
                  <c:v>452.91</c:v>
                </c:pt>
                <c:pt idx="18">
                  <c:v>567.95000000000005</c:v>
                </c:pt>
                <c:pt idx="19">
                  <c:v>813.33</c:v>
                </c:pt>
                <c:pt idx="20">
                  <c:v>1488.99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9C-4A00-880D-1D0B2D2AC3E2}"/>
            </c:ext>
          </c:extLst>
        </c:ser>
        <c:ser>
          <c:idx val="8"/>
          <c:order val="8"/>
          <c:tx>
            <c:strRef>
              <c:f>'Run 1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(Alex)'!$E$170:$E$190</c:f>
              <c:numCache>
                <c:formatCode>General</c:formatCode>
                <c:ptCount val="21"/>
                <c:pt idx="0">
                  <c:v>24.38</c:v>
                </c:pt>
                <c:pt idx="1">
                  <c:v>24.56</c:v>
                </c:pt>
                <c:pt idx="2">
                  <c:v>26.65</c:v>
                </c:pt>
                <c:pt idx="3">
                  <c:v>29.35</c:v>
                </c:pt>
                <c:pt idx="4">
                  <c:v>32.380000000000003</c:v>
                </c:pt>
                <c:pt idx="5">
                  <c:v>35.200000000000003</c:v>
                </c:pt>
                <c:pt idx="6">
                  <c:v>38.1</c:v>
                </c:pt>
                <c:pt idx="7">
                  <c:v>41.6</c:v>
                </c:pt>
                <c:pt idx="8">
                  <c:v>43.62</c:v>
                </c:pt>
                <c:pt idx="9">
                  <c:v>46.66</c:v>
                </c:pt>
                <c:pt idx="10">
                  <c:v>49.1</c:v>
                </c:pt>
                <c:pt idx="11">
                  <c:v>51.87</c:v>
                </c:pt>
                <c:pt idx="12">
                  <c:v>55.45</c:v>
                </c:pt>
                <c:pt idx="13">
                  <c:v>59.65</c:v>
                </c:pt>
                <c:pt idx="14">
                  <c:v>65.33</c:v>
                </c:pt>
                <c:pt idx="15">
                  <c:v>72.27</c:v>
                </c:pt>
                <c:pt idx="16">
                  <c:v>83.91</c:v>
                </c:pt>
                <c:pt idx="17">
                  <c:v>100.41</c:v>
                </c:pt>
                <c:pt idx="18">
                  <c:v>132.16999999999999</c:v>
                </c:pt>
                <c:pt idx="19">
                  <c:v>208.67</c:v>
                </c:pt>
                <c:pt idx="20">
                  <c:v>511.83</c:v>
                </c:pt>
              </c:numCache>
            </c:numRef>
          </c:xVal>
          <c:yVal>
            <c:numRef>
              <c:f>'Run 1 (Alex)'!$D$170:$D$190</c:f>
              <c:numCache>
                <c:formatCode>General</c:formatCode>
                <c:ptCount val="21"/>
                <c:pt idx="0">
                  <c:v>66.739999999999995</c:v>
                </c:pt>
                <c:pt idx="1">
                  <c:v>80.58</c:v>
                </c:pt>
                <c:pt idx="2">
                  <c:v>107.93</c:v>
                </c:pt>
                <c:pt idx="3">
                  <c:v>132.03</c:v>
                </c:pt>
                <c:pt idx="4">
                  <c:v>154.22</c:v>
                </c:pt>
                <c:pt idx="5">
                  <c:v>175.06</c:v>
                </c:pt>
                <c:pt idx="6">
                  <c:v>194.61</c:v>
                </c:pt>
                <c:pt idx="7">
                  <c:v>213.27</c:v>
                </c:pt>
                <c:pt idx="8">
                  <c:v>228.73</c:v>
                </c:pt>
                <c:pt idx="9">
                  <c:v>245.86</c:v>
                </c:pt>
                <c:pt idx="10">
                  <c:v>261.48</c:v>
                </c:pt>
                <c:pt idx="11">
                  <c:v>277.58</c:v>
                </c:pt>
                <c:pt idx="12">
                  <c:v>297.45</c:v>
                </c:pt>
                <c:pt idx="13">
                  <c:v>322.54000000000002</c:v>
                </c:pt>
                <c:pt idx="14">
                  <c:v>351.86</c:v>
                </c:pt>
                <c:pt idx="15">
                  <c:v>385.94</c:v>
                </c:pt>
                <c:pt idx="16">
                  <c:v>439.31</c:v>
                </c:pt>
                <c:pt idx="17">
                  <c:v>512.41</c:v>
                </c:pt>
                <c:pt idx="18">
                  <c:v>643.39</c:v>
                </c:pt>
                <c:pt idx="19">
                  <c:v>924.58</c:v>
                </c:pt>
                <c:pt idx="20">
                  <c:v>1636.49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99C-4A00-880D-1D0B2D2AC3E2}"/>
            </c:ext>
          </c:extLst>
        </c:ser>
        <c:ser>
          <c:idx val="9"/>
          <c:order val="9"/>
          <c:tx>
            <c:strRef>
              <c:f>'Run 1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(Alex)'!$E$191:$E$211</c:f>
              <c:numCache>
                <c:formatCode>General</c:formatCode>
                <c:ptCount val="21"/>
                <c:pt idx="0">
                  <c:v>62.13</c:v>
                </c:pt>
                <c:pt idx="1">
                  <c:v>62.37</c:v>
                </c:pt>
                <c:pt idx="2">
                  <c:v>64.099999999999994</c:v>
                </c:pt>
                <c:pt idx="3">
                  <c:v>65.87</c:v>
                </c:pt>
                <c:pt idx="4">
                  <c:v>67.900000000000006</c:v>
                </c:pt>
                <c:pt idx="5">
                  <c:v>69.790000000000006</c:v>
                </c:pt>
                <c:pt idx="6">
                  <c:v>72.290000000000006</c:v>
                </c:pt>
                <c:pt idx="7">
                  <c:v>74.59</c:v>
                </c:pt>
                <c:pt idx="8">
                  <c:v>76.45</c:v>
                </c:pt>
                <c:pt idx="9">
                  <c:v>78.599999999999994</c:v>
                </c:pt>
                <c:pt idx="10">
                  <c:v>80.94</c:v>
                </c:pt>
                <c:pt idx="11">
                  <c:v>83.26</c:v>
                </c:pt>
                <c:pt idx="12">
                  <c:v>86.18</c:v>
                </c:pt>
                <c:pt idx="13">
                  <c:v>89.96</c:v>
                </c:pt>
                <c:pt idx="14">
                  <c:v>95.16</c:v>
                </c:pt>
                <c:pt idx="15">
                  <c:v>102.51</c:v>
                </c:pt>
                <c:pt idx="16">
                  <c:v>115.44</c:v>
                </c:pt>
                <c:pt idx="17">
                  <c:v>134.4</c:v>
                </c:pt>
                <c:pt idx="18">
                  <c:v>173.83</c:v>
                </c:pt>
                <c:pt idx="19">
                  <c:v>280.14999999999998</c:v>
                </c:pt>
                <c:pt idx="20">
                  <c:v>781.66</c:v>
                </c:pt>
              </c:numCache>
            </c:numRef>
          </c:xVal>
          <c:yVal>
            <c:numRef>
              <c:f>'Run 1 (Alex)'!$D$191:$D$211</c:f>
              <c:numCache>
                <c:formatCode>General</c:formatCode>
                <c:ptCount val="21"/>
                <c:pt idx="0">
                  <c:v>143.44999999999999</c:v>
                </c:pt>
                <c:pt idx="1">
                  <c:v>149.47999999999999</c:v>
                </c:pt>
                <c:pt idx="2">
                  <c:v>166.2</c:v>
                </c:pt>
                <c:pt idx="3">
                  <c:v>183.66</c:v>
                </c:pt>
                <c:pt idx="4">
                  <c:v>200.99</c:v>
                </c:pt>
                <c:pt idx="5">
                  <c:v>218.52</c:v>
                </c:pt>
                <c:pt idx="6">
                  <c:v>235.49</c:v>
                </c:pt>
                <c:pt idx="7">
                  <c:v>252.04</c:v>
                </c:pt>
                <c:pt idx="8">
                  <c:v>266.61</c:v>
                </c:pt>
                <c:pt idx="9">
                  <c:v>284.70999999999998</c:v>
                </c:pt>
                <c:pt idx="10">
                  <c:v>299.61</c:v>
                </c:pt>
                <c:pt idx="11">
                  <c:v>315.66000000000003</c:v>
                </c:pt>
                <c:pt idx="12">
                  <c:v>336.02</c:v>
                </c:pt>
                <c:pt idx="13">
                  <c:v>365.91</c:v>
                </c:pt>
                <c:pt idx="14">
                  <c:v>399.76</c:v>
                </c:pt>
                <c:pt idx="15">
                  <c:v>442.25</c:v>
                </c:pt>
                <c:pt idx="16">
                  <c:v>512.04999999999995</c:v>
                </c:pt>
                <c:pt idx="17">
                  <c:v>611.70000000000005</c:v>
                </c:pt>
                <c:pt idx="18">
                  <c:v>804.85</c:v>
                </c:pt>
                <c:pt idx="19">
                  <c:v>1251.8800000000001</c:v>
                </c:pt>
                <c:pt idx="20">
                  <c:v>2594.2199999999998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9C-4A00-880D-1D0B2D2AC3E2}"/>
            </c:ext>
          </c:extLst>
        </c:ser>
        <c:ser>
          <c:idx val="10"/>
          <c:order val="10"/>
          <c:tx>
            <c:strRef>
              <c:f>'Run 1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(Alex)'!$E$212:$E$232</c:f>
              <c:numCache>
                <c:formatCode>General</c:formatCode>
                <c:ptCount val="21"/>
                <c:pt idx="0">
                  <c:v>88.07</c:v>
                </c:pt>
                <c:pt idx="1">
                  <c:v>89.14</c:v>
                </c:pt>
                <c:pt idx="2">
                  <c:v>96.88</c:v>
                </c:pt>
                <c:pt idx="3">
                  <c:v>107.43</c:v>
                </c:pt>
                <c:pt idx="4">
                  <c:v>119.62</c:v>
                </c:pt>
                <c:pt idx="5">
                  <c:v>133.03</c:v>
                </c:pt>
                <c:pt idx="6">
                  <c:v>146.61000000000001</c:v>
                </c:pt>
                <c:pt idx="7">
                  <c:v>160.29</c:v>
                </c:pt>
                <c:pt idx="8">
                  <c:v>172.4</c:v>
                </c:pt>
                <c:pt idx="9">
                  <c:v>187.06</c:v>
                </c:pt>
                <c:pt idx="10">
                  <c:v>199.93</c:v>
                </c:pt>
                <c:pt idx="11">
                  <c:v>213.8</c:v>
                </c:pt>
                <c:pt idx="12">
                  <c:v>230.91</c:v>
                </c:pt>
                <c:pt idx="13">
                  <c:v>254.01</c:v>
                </c:pt>
                <c:pt idx="14">
                  <c:v>282.49</c:v>
                </c:pt>
                <c:pt idx="15">
                  <c:v>317.14</c:v>
                </c:pt>
                <c:pt idx="16">
                  <c:v>374.48</c:v>
                </c:pt>
                <c:pt idx="17">
                  <c:v>456</c:v>
                </c:pt>
                <c:pt idx="18">
                  <c:v>605.26</c:v>
                </c:pt>
                <c:pt idx="19">
                  <c:v>979.58</c:v>
                </c:pt>
                <c:pt idx="20">
                  <c:v>2441.2800000000002</c:v>
                </c:pt>
              </c:numCache>
            </c:numRef>
          </c:xVal>
          <c:yVal>
            <c:numRef>
              <c:f>'Run 1 (Alex)'!$D$212:$D$232</c:f>
              <c:numCache>
                <c:formatCode>General</c:formatCode>
                <c:ptCount val="21"/>
                <c:pt idx="0">
                  <c:v>231.06</c:v>
                </c:pt>
                <c:pt idx="1">
                  <c:v>282.24</c:v>
                </c:pt>
                <c:pt idx="2">
                  <c:v>404.1</c:v>
                </c:pt>
                <c:pt idx="3">
                  <c:v>518.09</c:v>
                </c:pt>
                <c:pt idx="4">
                  <c:v>622.19000000000005</c:v>
                </c:pt>
                <c:pt idx="5">
                  <c:v>723.21</c:v>
                </c:pt>
                <c:pt idx="6">
                  <c:v>809.85</c:v>
                </c:pt>
                <c:pt idx="7">
                  <c:v>903.84</c:v>
                </c:pt>
                <c:pt idx="8">
                  <c:v>963.75</c:v>
                </c:pt>
                <c:pt idx="9">
                  <c:v>1074.5</c:v>
                </c:pt>
                <c:pt idx="10">
                  <c:v>1127</c:v>
                </c:pt>
                <c:pt idx="11">
                  <c:v>1174.27</c:v>
                </c:pt>
                <c:pt idx="12">
                  <c:v>1294.45</c:v>
                </c:pt>
                <c:pt idx="13">
                  <c:v>1441.31</c:v>
                </c:pt>
                <c:pt idx="14">
                  <c:v>1526.64</c:v>
                </c:pt>
                <c:pt idx="15">
                  <c:v>1626.16</c:v>
                </c:pt>
                <c:pt idx="16">
                  <c:v>1974.29</c:v>
                </c:pt>
                <c:pt idx="17">
                  <c:v>2362.83</c:v>
                </c:pt>
                <c:pt idx="18">
                  <c:v>2791.35</c:v>
                </c:pt>
                <c:pt idx="19">
                  <c:v>3934.89</c:v>
                </c:pt>
                <c:pt idx="20">
                  <c:v>6565.4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9C-4A00-880D-1D0B2D2AC3E2}"/>
            </c:ext>
          </c:extLst>
        </c:ser>
        <c:ser>
          <c:idx val="11"/>
          <c:order val="11"/>
          <c:tx>
            <c:strRef>
              <c:f>'Run 1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(Alex)'!$E$233:$E$253</c:f>
              <c:numCache>
                <c:formatCode>General</c:formatCode>
                <c:ptCount val="21"/>
                <c:pt idx="0">
                  <c:v>22.89</c:v>
                </c:pt>
                <c:pt idx="1">
                  <c:v>23</c:v>
                </c:pt>
                <c:pt idx="2">
                  <c:v>24.42</c:v>
                </c:pt>
                <c:pt idx="3">
                  <c:v>25.06</c:v>
                </c:pt>
                <c:pt idx="4">
                  <c:v>25.95</c:v>
                </c:pt>
                <c:pt idx="5">
                  <c:v>27.25</c:v>
                </c:pt>
                <c:pt idx="6">
                  <c:v>28.32</c:v>
                </c:pt>
                <c:pt idx="7">
                  <c:v>29.21</c:v>
                </c:pt>
                <c:pt idx="8">
                  <c:v>30.32</c:v>
                </c:pt>
                <c:pt idx="9">
                  <c:v>31.31</c:v>
                </c:pt>
                <c:pt idx="10">
                  <c:v>32.61</c:v>
                </c:pt>
                <c:pt idx="11">
                  <c:v>33.97</c:v>
                </c:pt>
                <c:pt idx="12">
                  <c:v>35.35</c:v>
                </c:pt>
                <c:pt idx="13">
                  <c:v>37.49</c:v>
                </c:pt>
                <c:pt idx="14">
                  <c:v>40.340000000000003</c:v>
                </c:pt>
                <c:pt idx="15">
                  <c:v>43.88</c:v>
                </c:pt>
                <c:pt idx="16">
                  <c:v>50.22</c:v>
                </c:pt>
                <c:pt idx="17">
                  <c:v>60.79</c:v>
                </c:pt>
                <c:pt idx="18">
                  <c:v>83.45</c:v>
                </c:pt>
                <c:pt idx="19">
                  <c:v>148.09</c:v>
                </c:pt>
                <c:pt idx="20">
                  <c:v>499.53</c:v>
                </c:pt>
              </c:numCache>
            </c:numRef>
          </c:xVal>
          <c:yVal>
            <c:numRef>
              <c:f>'Run 1 (Alex)'!$D$233:$D$253</c:f>
              <c:numCache>
                <c:formatCode>General</c:formatCode>
                <c:ptCount val="21"/>
                <c:pt idx="0">
                  <c:v>54.83</c:v>
                </c:pt>
                <c:pt idx="1">
                  <c:v>61.13</c:v>
                </c:pt>
                <c:pt idx="2">
                  <c:v>73.52</c:v>
                </c:pt>
                <c:pt idx="3">
                  <c:v>84.74</c:v>
                </c:pt>
                <c:pt idx="4">
                  <c:v>94.63</c:v>
                </c:pt>
                <c:pt idx="5">
                  <c:v>104.56</c:v>
                </c:pt>
                <c:pt idx="6">
                  <c:v>113.77</c:v>
                </c:pt>
                <c:pt idx="7">
                  <c:v>122.55</c:v>
                </c:pt>
                <c:pt idx="8">
                  <c:v>130.38</c:v>
                </c:pt>
                <c:pt idx="9">
                  <c:v>139.61000000000001</c:v>
                </c:pt>
                <c:pt idx="10">
                  <c:v>147.35</c:v>
                </c:pt>
                <c:pt idx="11">
                  <c:v>155.41</c:v>
                </c:pt>
                <c:pt idx="12">
                  <c:v>165.86</c:v>
                </c:pt>
                <c:pt idx="13">
                  <c:v>180.96</c:v>
                </c:pt>
                <c:pt idx="14">
                  <c:v>198.24</c:v>
                </c:pt>
                <c:pt idx="15">
                  <c:v>219.18</c:v>
                </c:pt>
                <c:pt idx="16">
                  <c:v>254.71</c:v>
                </c:pt>
                <c:pt idx="17">
                  <c:v>308.52999999999997</c:v>
                </c:pt>
                <c:pt idx="18">
                  <c:v>419.96</c:v>
                </c:pt>
                <c:pt idx="19">
                  <c:v>694.77</c:v>
                </c:pt>
                <c:pt idx="20">
                  <c:v>1557.18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99C-4A00-880D-1D0B2D2AC3E2}"/>
            </c:ext>
          </c:extLst>
        </c:ser>
        <c:ser>
          <c:idx val="12"/>
          <c:order val="12"/>
          <c:tx>
            <c:strRef>
              <c:f>'Run 1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(Alex)'!$E$254:$E$273</c:f>
              <c:numCache>
                <c:formatCode>General</c:formatCode>
                <c:ptCount val="20"/>
                <c:pt idx="0">
                  <c:v>31.96</c:v>
                </c:pt>
                <c:pt idx="1">
                  <c:v>33.11</c:v>
                </c:pt>
                <c:pt idx="2">
                  <c:v>35.950000000000003</c:v>
                </c:pt>
                <c:pt idx="3">
                  <c:v>38.450000000000003</c:v>
                </c:pt>
                <c:pt idx="4">
                  <c:v>41.56</c:v>
                </c:pt>
                <c:pt idx="5">
                  <c:v>44.25</c:v>
                </c:pt>
                <c:pt idx="6">
                  <c:v>46.89</c:v>
                </c:pt>
                <c:pt idx="7">
                  <c:v>50.43</c:v>
                </c:pt>
                <c:pt idx="8">
                  <c:v>53.03</c:v>
                </c:pt>
                <c:pt idx="9">
                  <c:v>56.27</c:v>
                </c:pt>
                <c:pt idx="10">
                  <c:v>59.34</c:v>
                </c:pt>
                <c:pt idx="11">
                  <c:v>61.89</c:v>
                </c:pt>
                <c:pt idx="12">
                  <c:v>65.8</c:v>
                </c:pt>
                <c:pt idx="13">
                  <c:v>70.69</c:v>
                </c:pt>
                <c:pt idx="14">
                  <c:v>76.58</c:v>
                </c:pt>
                <c:pt idx="15">
                  <c:v>83.85</c:v>
                </c:pt>
                <c:pt idx="16">
                  <c:v>93.72</c:v>
                </c:pt>
                <c:pt idx="17">
                  <c:v>107.75</c:v>
                </c:pt>
                <c:pt idx="18">
                  <c:v>134.46</c:v>
                </c:pt>
                <c:pt idx="19">
                  <c:v>201.36</c:v>
                </c:pt>
              </c:numCache>
            </c:numRef>
          </c:xVal>
          <c:yVal>
            <c:numRef>
              <c:f>'Run 1 (Alex)'!$D$254:$D$273</c:f>
              <c:numCache>
                <c:formatCode>General</c:formatCode>
                <c:ptCount val="20"/>
                <c:pt idx="0">
                  <c:v>78.099999999999994</c:v>
                </c:pt>
                <c:pt idx="1">
                  <c:v>88.72</c:v>
                </c:pt>
                <c:pt idx="2">
                  <c:v>110.7</c:v>
                </c:pt>
                <c:pt idx="3">
                  <c:v>131.25</c:v>
                </c:pt>
                <c:pt idx="4">
                  <c:v>151.72999999999999</c:v>
                </c:pt>
                <c:pt idx="5">
                  <c:v>172.94</c:v>
                </c:pt>
                <c:pt idx="6">
                  <c:v>187.89</c:v>
                </c:pt>
                <c:pt idx="7">
                  <c:v>204.58</c:v>
                </c:pt>
                <c:pt idx="8">
                  <c:v>216.64</c:v>
                </c:pt>
                <c:pt idx="9">
                  <c:v>232.03</c:v>
                </c:pt>
                <c:pt idx="10">
                  <c:v>242.92</c:v>
                </c:pt>
                <c:pt idx="11">
                  <c:v>255.91</c:v>
                </c:pt>
                <c:pt idx="12">
                  <c:v>275.11</c:v>
                </c:pt>
                <c:pt idx="13">
                  <c:v>300.33999999999997</c:v>
                </c:pt>
                <c:pt idx="14">
                  <c:v>318.2</c:v>
                </c:pt>
                <c:pt idx="15">
                  <c:v>342.62</c:v>
                </c:pt>
                <c:pt idx="16">
                  <c:v>381.98</c:v>
                </c:pt>
                <c:pt idx="17">
                  <c:v>419.75</c:v>
                </c:pt>
                <c:pt idx="18">
                  <c:v>485.13</c:v>
                </c:pt>
                <c:pt idx="19">
                  <c:v>637.67999999999995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99C-4A00-880D-1D0B2D2AC3E2}"/>
            </c:ext>
          </c:extLst>
        </c:ser>
        <c:ser>
          <c:idx val="13"/>
          <c:order val="13"/>
          <c:tx>
            <c:strRef>
              <c:f>'Run 1 (Alex)'!$A$274</c:f>
              <c:strCache>
                <c:ptCount val="1"/>
                <c:pt idx="0">
                  <c:v>Tanks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(Alex)'!$E$274:$E$295</c:f>
              <c:numCache>
                <c:formatCode>General</c:formatCode>
                <c:ptCount val="22"/>
                <c:pt idx="0">
                  <c:v>241.25</c:v>
                </c:pt>
                <c:pt idx="1">
                  <c:v>13.5</c:v>
                </c:pt>
                <c:pt idx="2">
                  <c:v>13.5</c:v>
                </c:pt>
                <c:pt idx="3">
                  <c:v>14.07</c:v>
                </c:pt>
                <c:pt idx="4">
                  <c:v>14.32</c:v>
                </c:pt>
                <c:pt idx="5">
                  <c:v>14.83</c:v>
                </c:pt>
                <c:pt idx="6">
                  <c:v>15.61</c:v>
                </c:pt>
                <c:pt idx="7">
                  <c:v>16.18</c:v>
                </c:pt>
                <c:pt idx="8">
                  <c:v>16.79</c:v>
                </c:pt>
                <c:pt idx="9">
                  <c:v>17.510000000000002</c:v>
                </c:pt>
                <c:pt idx="10">
                  <c:v>18.2</c:v>
                </c:pt>
                <c:pt idx="11">
                  <c:v>18.97</c:v>
                </c:pt>
                <c:pt idx="12">
                  <c:v>19.75</c:v>
                </c:pt>
                <c:pt idx="13">
                  <c:v>20.74</c:v>
                </c:pt>
                <c:pt idx="14">
                  <c:v>22.18</c:v>
                </c:pt>
                <c:pt idx="15">
                  <c:v>24.12</c:v>
                </c:pt>
                <c:pt idx="16">
                  <c:v>26.55</c:v>
                </c:pt>
                <c:pt idx="17">
                  <c:v>30.8</c:v>
                </c:pt>
                <c:pt idx="18">
                  <c:v>37.630000000000003</c:v>
                </c:pt>
                <c:pt idx="19">
                  <c:v>51.29</c:v>
                </c:pt>
                <c:pt idx="20">
                  <c:v>86.84</c:v>
                </c:pt>
                <c:pt idx="21">
                  <c:v>241.25</c:v>
                </c:pt>
              </c:numCache>
            </c:numRef>
          </c:xVal>
          <c:yVal>
            <c:numRef>
              <c:f>'Run 1 (Alex)'!$D$274:$D$295</c:f>
              <c:numCache>
                <c:formatCode>General</c:formatCode>
                <c:ptCount val="22"/>
                <c:pt idx="0">
                  <c:v>791.84</c:v>
                </c:pt>
                <c:pt idx="1">
                  <c:v>30.31</c:v>
                </c:pt>
                <c:pt idx="2">
                  <c:v>33.200000000000003</c:v>
                </c:pt>
                <c:pt idx="3">
                  <c:v>40.619999999999997</c:v>
                </c:pt>
                <c:pt idx="4">
                  <c:v>48.42</c:v>
                </c:pt>
                <c:pt idx="5">
                  <c:v>55.67</c:v>
                </c:pt>
                <c:pt idx="6">
                  <c:v>62.84</c:v>
                </c:pt>
                <c:pt idx="7">
                  <c:v>69.75</c:v>
                </c:pt>
                <c:pt idx="8">
                  <c:v>76.540000000000006</c:v>
                </c:pt>
                <c:pt idx="9">
                  <c:v>82.68</c:v>
                </c:pt>
                <c:pt idx="10">
                  <c:v>89.48</c:v>
                </c:pt>
                <c:pt idx="11">
                  <c:v>95.51</c:v>
                </c:pt>
                <c:pt idx="12">
                  <c:v>101.8</c:v>
                </c:pt>
                <c:pt idx="13">
                  <c:v>109.92</c:v>
                </c:pt>
                <c:pt idx="14">
                  <c:v>120.91</c:v>
                </c:pt>
                <c:pt idx="15">
                  <c:v>134.13</c:v>
                </c:pt>
                <c:pt idx="16">
                  <c:v>149.86000000000001</c:v>
                </c:pt>
                <c:pt idx="17">
                  <c:v>174.77</c:v>
                </c:pt>
                <c:pt idx="18">
                  <c:v>210.64</c:v>
                </c:pt>
                <c:pt idx="19">
                  <c:v>276.49</c:v>
                </c:pt>
                <c:pt idx="20">
                  <c:v>415.64</c:v>
                </c:pt>
                <c:pt idx="21">
                  <c:v>791.84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9C-4A00-880D-1D0B2D2AC3E2}"/>
            </c:ext>
          </c:extLst>
        </c:ser>
        <c:ser>
          <c:idx val="14"/>
          <c:order val="14"/>
          <c:tx>
            <c:strRef>
              <c:f>'Run 1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(Alex)'!$E$296:$E$316</c:f>
              <c:numCache>
                <c:formatCode>General</c:formatCode>
                <c:ptCount val="21"/>
                <c:pt idx="0">
                  <c:v>13.41</c:v>
                </c:pt>
                <c:pt idx="1">
                  <c:v>13.48</c:v>
                </c:pt>
                <c:pt idx="2">
                  <c:v>14.57</c:v>
                </c:pt>
                <c:pt idx="3">
                  <c:v>15.34</c:v>
                </c:pt>
                <c:pt idx="4">
                  <c:v>16.62</c:v>
                </c:pt>
                <c:pt idx="5">
                  <c:v>17.649999999999999</c:v>
                </c:pt>
                <c:pt idx="6">
                  <c:v>18.760000000000002</c:v>
                </c:pt>
                <c:pt idx="7">
                  <c:v>20.059999999999999</c:v>
                </c:pt>
                <c:pt idx="8">
                  <c:v>20.83</c:v>
                </c:pt>
                <c:pt idx="9">
                  <c:v>22.14</c:v>
                </c:pt>
                <c:pt idx="10">
                  <c:v>23.22</c:v>
                </c:pt>
                <c:pt idx="11">
                  <c:v>24.39</c:v>
                </c:pt>
                <c:pt idx="12">
                  <c:v>26.06</c:v>
                </c:pt>
                <c:pt idx="13">
                  <c:v>27.89</c:v>
                </c:pt>
                <c:pt idx="14">
                  <c:v>30.49</c:v>
                </c:pt>
                <c:pt idx="15">
                  <c:v>33.909999999999997</c:v>
                </c:pt>
                <c:pt idx="16">
                  <c:v>39.78</c:v>
                </c:pt>
                <c:pt idx="17">
                  <c:v>48.68</c:v>
                </c:pt>
                <c:pt idx="18">
                  <c:v>66.53</c:v>
                </c:pt>
                <c:pt idx="19">
                  <c:v>117.19</c:v>
                </c:pt>
                <c:pt idx="20">
                  <c:v>353.61</c:v>
                </c:pt>
              </c:numCache>
            </c:numRef>
          </c:xVal>
          <c:yVal>
            <c:numRef>
              <c:f>'Run 1 (Alex)'!$D$296:$D$316</c:f>
              <c:numCache>
                <c:formatCode>General</c:formatCode>
                <c:ptCount val="21"/>
                <c:pt idx="0">
                  <c:v>33.61</c:v>
                </c:pt>
                <c:pt idx="1">
                  <c:v>39.24</c:v>
                </c:pt>
                <c:pt idx="2">
                  <c:v>50.85</c:v>
                </c:pt>
                <c:pt idx="3">
                  <c:v>61.85</c:v>
                </c:pt>
                <c:pt idx="4">
                  <c:v>73.78</c:v>
                </c:pt>
                <c:pt idx="5">
                  <c:v>85.86</c:v>
                </c:pt>
                <c:pt idx="6">
                  <c:v>97.56</c:v>
                </c:pt>
                <c:pt idx="7">
                  <c:v>109.35</c:v>
                </c:pt>
                <c:pt idx="8">
                  <c:v>119.49</c:v>
                </c:pt>
                <c:pt idx="9">
                  <c:v>131.55000000000001</c:v>
                </c:pt>
                <c:pt idx="10">
                  <c:v>142.06</c:v>
                </c:pt>
                <c:pt idx="11">
                  <c:v>153.33000000000001</c:v>
                </c:pt>
                <c:pt idx="12">
                  <c:v>168.08</c:v>
                </c:pt>
                <c:pt idx="13">
                  <c:v>187.1</c:v>
                </c:pt>
                <c:pt idx="14">
                  <c:v>211.67</c:v>
                </c:pt>
                <c:pt idx="15">
                  <c:v>241.15</c:v>
                </c:pt>
                <c:pt idx="16">
                  <c:v>288.54000000000002</c:v>
                </c:pt>
                <c:pt idx="17">
                  <c:v>357.09</c:v>
                </c:pt>
                <c:pt idx="18">
                  <c:v>477.07</c:v>
                </c:pt>
                <c:pt idx="19">
                  <c:v>721.12</c:v>
                </c:pt>
                <c:pt idx="20">
                  <c:v>1344.52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99C-4A00-880D-1D0B2D2AC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1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1 (Alex)'!$E$2:$E$22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3567.01</c:v>
                      </c:pt>
                      <c:pt idx="1">
                        <c:v>3568.39</c:v>
                      </c:pt>
                      <c:pt idx="2">
                        <c:v>3619.82</c:v>
                      </c:pt>
                      <c:pt idx="3">
                        <c:v>3678.24</c:v>
                      </c:pt>
                      <c:pt idx="4">
                        <c:v>3780</c:v>
                      </c:pt>
                      <c:pt idx="5">
                        <c:v>3873.76</c:v>
                      </c:pt>
                      <c:pt idx="6">
                        <c:v>3991.04</c:v>
                      </c:pt>
                      <c:pt idx="7">
                        <c:v>4121</c:v>
                      </c:pt>
                      <c:pt idx="8">
                        <c:v>4216.2299999999996</c:v>
                      </c:pt>
                      <c:pt idx="9">
                        <c:v>4354.12</c:v>
                      </c:pt>
                      <c:pt idx="10">
                        <c:v>4479.96</c:v>
                      </c:pt>
                      <c:pt idx="11">
                        <c:v>4614.75</c:v>
                      </c:pt>
                      <c:pt idx="12">
                        <c:v>4812.2299999999996</c:v>
                      </c:pt>
                      <c:pt idx="13">
                        <c:v>5045.9799999999996</c:v>
                      </c:pt>
                      <c:pt idx="14">
                        <c:v>5365.96</c:v>
                      </c:pt>
                      <c:pt idx="15">
                        <c:v>5757.01</c:v>
                      </c:pt>
                      <c:pt idx="16">
                        <c:v>6409.7</c:v>
                      </c:pt>
                      <c:pt idx="17">
                        <c:v>7431.39</c:v>
                      </c:pt>
                      <c:pt idx="18">
                        <c:v>9323.19</c:v>
                      </c:pt>
                      <c:pt idx="19">
                        <c:v>13954.49</c:v>
                      </c:pt>
                      <c:pt idx="20">
                        <c:v>35662.51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1 (Alex)'!$D$2:$D$22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8309.42</c:v>
                      </c:pt>
                      <c:pt idx="1">
                        <c:v>8717.24</c:v>
                      </c:pt>
                      <c:pt idx="2">
                        <c:v>9868.56</c:v>
                      </c:pt>
                      <c:pt idx="3">
                        <c:v>11118.98</c:v>
                      </c:pt>
                      <c:pt idx="4">
                        <c:v>12402.48</c:v>
                      </c:pt>
                      <c:pt idx="5">
                        <c:v>13715.87</c:v>
                      </c:pt>
                      <c:pt idx="6">
                        <c:v>15008.87</c:v>
                      </c:pt>
                      <c:pt idx="7">
                        <c:v>16295.88</c:v>
                      </c:pt>
                      <c:pt idx="8">
                        <c:v>17423.87</c:v>
                      </c:pt>
                      <c:pt idx="9">
                        <c:v>18735.740000000002</c:v>
                      </c:pt>
                      <c:pt idx="10">
                        <c:v>19891.689999999999</c:v>
                      </c:pt>
                      <c:pt idx="11">
                        <c:v>21053.59</c:v>
                      </c:pt>
                      <c:pt idx="12">
                        <c:v>22604.49</c:v>
                      </c:pt>
                      <c:pt idx="13">
                        <c:v>24516.080000000002</c:v>
                      </c:pt>
                      <c:pt idx="14">
                        <c:v>26883.91</c:v>
                      </c:pt>
                      <c:pt idx="15">
                        <c:v>29474.35</c:v>
                      </c:pt>
                      <c:pt idx="16">
                        <c:v>33516.74</c:v>
                      </c:pt>
                      <c:pt idx="17">
                        <c:v>39341.1</c:v>
                      </c:pt>
                      <c:pt idx="18">
                        <c:v>49522.26</c:v>
                      </c:pt>
                      <c:pt idx="19">
                        <c:v>71880.44</c:v>
                      </c:pt>
                      <c:pt idx="20">
                        <c:v>130227.27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99C-4A00-880D-1D0B2D2AC3E2}"/>
                  </c:ext>
                </c:extLst>
              </c15:ser>
            </c15:filteredScatterSeries>
          </c:ext>
        </c:extLst>
      </c:scatterChart>
      <c:valAx>
        <c:axId val="12315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5374747083852661"/>
              <c:y val="0.397485983798461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402102490968592"/>
          <c:h val="0.7811193687182189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705507649331065"/>
          <c:y val="0.1175159152622121"/>
          <c:w val="0.61994634088361544"/>
          <c:h val="0.73945155144960217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(Ty)'!$E$2:$E$21</c:f>
              <c:numCache>
                <c:formatCode>General</c:formatCode>
                <c:ptCount val="2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</c:numCache>
            </c:numRef>
          </c:xVal>
          <c:yVal>
            <c:numRef>
              <c:f>'Run 1 (Ty)'!$D$2:$D$21</c:f>
              <c:numCache>
                <c:formatCode>General</c:formatCode>
                <c:ptCount val="20"/>
                <c:pt idx="0">
                  <c:v>143.44999999999999</c:v>
                </c:pt>
                <c:pt idx="1">
                  <c:v>149.47</c:v>
                </c:pt>
                <c:pt idx="2">
                  <c:v>166.19</c:v>
                </c:pt>
                <c:pt idx="3">
                  <c:v>183.66</c:v>
                </c:pt>
                <c:pt idx="4">
                  <c:v>201.01</c:v>
                </c:pt>
                <c:pt idx="5">
                  <c:v>218.53</c:v>
                </c:pt>
                <c:pt idx="6">
                  <c:v>235.49</c:v>
                </c:pt>
                <c:pt idx="7">
                  <c:v>252.07</c:v>
                </c:pt>
                <c:pt idx="8">
                  <c:v>266.63</c:v>
                </c:pt>
                <c:pt idx="9">
                  <c:v>284.75</c:v>
                </c:pt>
                <c:pt idx="10">
                  <c:v>299.54000000000002</c:v>
                </c:pt>
                <c:pt idx="11">
                  <c:v>315.70999999999998</c:v>
                </c:pt>
                <c:pt idx="12">
                  <c:v>336.05</c:v>
                </c:pt>
                <c:pt idx="13">
                  <c:v>365.98</c:v>
                </c:pt>
                <c:pt idx="14">
                  <c:v>399.86</c:v>
                </c:pt>
                <c:pt idx="15">
                  <c:v>442.34</c:v>
                </c:pt>
                <c:pt idx="16">
                  <c:v>512.20000000000005</c:v>
                </c:pt>
                <c:pt idx="17">
                  <c:v>612</c:v>
                </c:pt>
                <c:pt idx="18">
                  <c:v>805.23</c:v>
                </c:pt>
                <c:pt idx="19">
                  <c:v>1253.42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5-4773-B904-E23B5A88F4BD}"/>
            </c:ext>
          </c:extLst>
        </c:ser>
        <c:ser>
          <c:idx val="2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(Ty)'!$E$22:$E$41</c:f>
              <c:numCache>
                <c:formatCode>General</c:formatCode>
                <c:ptCount val="2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</c:numCache>
            </c:numRef>
          </c:xVal>
          <c:yVal>
            <c:numRef>
              <c:f>'Run 1 (Ty)'!$D$22:$D$41</c:f>
              <c:numCache>
                <c:formatCode>General</c:formatCode>
                <c:ptCount val="20"/>
                <c:pt idx="0">
                  <c:v>14.7</c:v>
                </c:pt>
                <c:pt idx="1">
                  <c:v>16.18</c:v>
                </c:pt>
                <c:pt idx="2">
                  <c:v>20.7</c:v>
                </c:pt>
                <c:pt idx="3">
                  <c:v>24.79</c:v>
                </c:pt>
                <c:pt idx="4">
                  <c:v>28.77</c:v>
                </c:pt>
                <c:pt idx="5">
                  <c:v>32.42</c:v>
                </c:pt>
                <c:pt idx="6">
                  <c:v>35.659999999999997</c:v>
                </c:pt>
                <c:pt idx="7">
                  <c:v>38.74</c:v>
                </c:pt>
                <c:pt idx="8">
                  <c:v>41.25</c:v>
                </c:pt>
                <c:pt idx="9">
                  <c:v>44.26</c:v>
                </c:pt>
                <c:pt idx="10">
                  <c:v>46.83</c:v>
                </c:pt>
                <c:pt idx="11">
                  <c:v>49.43</c:v>
                </c:pt>
                <c:pt idx="12">
                  <c:v>52.81</c:v>
                </c:pt>
                <c:pt idx="13">
                  <c:v>57.18</c:v>
                </c:pt>
                <c:pt idx="14">
                  <c:v>62.01</c:v>
                </c:pt>
                <c:pt idx="15">
                  <c:v>67.72</c:v>
                </c:pt>
                <c:pt idx="16">
                  <c:v>76.569999999999993</c:v>
                </c:pt>
                <c:pt idx="17">
                  <c:v>88.74</c:v>
                </c:pt>
                <c:pt idx="18">
                  <c:v>110.27</c:v>
                </c:pt>
                <c:pt idx="19">
                  <c:v>157.13999999999999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D5-4773-B904-E23B5A88F4BD}"/>
            </c:ext>
          </c:extLst>
        </c:ser>
        <c:ser>
          <c:idx val="3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(Ty)'!$E$42:$E$61</c:f>
              <c:numCache>
                <c:formatCode>General</c:formatCode>
                <c:ptCount val="20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</c:numCache>
            </c:numRef>
          </c:xVal>
          <c:yVal>
            <c:numRef>
              <c:f>'Run 1 (Ty)'!$D$42:$D$61</c:f>
              <c:numCache>
                <c:formatCode>General</c:formatCode>
                <c:ptCount val="20"/>
                <c:pt idx="0">
                  <c:v>25.47</c:v>
                </c:pt>
                <c:pt idx="1">
                  <c:v>29.1</c:v>
                </c:pt>
                <c:pt idx="2">
                  <c:v>35.89</c:v>
                </c:pt>
                <c:pt idx="3">
                  <c:v>42.39</c:v>
                </c:pt>
                <c:pt idx="4">
                  <c:v>48.9</c:v>
                </c:pt>
                <c:pt idx="5">
                  <c:v>54.54</c:v>
                </c:pt>
                <c:pt idx="6">
                  <c:v>58.88</c:v>
                </c:pt>
                <c:pt idx="7">
                  <c:v>65.540000000000006</c:v>
                </c:pt>
                <c:pt idx="8">
                  <c:v>70.03</c:v>
                </c:pt>
                <c:pt idx="9">
                  <c:v>73.489999999999995</c:v>
                </c:pt>
                <c:pt idx="10">
                  <c:v>75.680000000000007</c:v>
                </c:pt>
                <c:pt idx="11">
                  <c:v>78.27</c:v>
                </c:pt>
                <c:pt idx="12">
                  <c:v>87.8</c:v>
                </c:pt>
                <c:pt idx="13">
                  <c:v>95.25</c:v>
                </c:pt>
                <c:pt idx="14">
                  <c:v>98.96</c:v>
                </c:pt>
                <c:pt idx="15">
                  <c:v>103.52</c:v>
                </c:pt>
                <c:pt idx="16">
                  <c:v>111.51</c:v>
                </c:pt>
                <c:pt idx="17">
                  <c:v>119.77</c:v>
                </c:pt>
                <c:pt idx="18">
                  <c:v>144.38</c:v>
                </c:pt>
                <c:pt idx="19">
                  <c:v>190.78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D5-4773-B904-E23B5A88F4BD}"/>
            </c:ext>
          </c:extLst>
        </c:ser>
        <c:ser>
          <c:idx val="4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(Ty)'!$E$62:$E$81</c:f>
              <c:numCache>
                <c:formatCode>General</c:formatCode>
                <c:ptCount val="20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</c:numCache>
            </c:numRef>
          </c:xVal>
          <c:yVal>
            <c:numRef>
              <c:f>'Run 1 (Ty)'!$D$62:$D$81</c:f>
              <c:numCache>
                <c:formatCode>General</c:formatCode>
                <c:ptCount val="20"/>
                <c:pt idx="0">
                  <c:v>33.61</c:v>
                </c:pt>
                <c:pt idx="1">
                  <c:v>39.24</c:v>
                </c:pt>
                <c:pt idx="2">
                  <c:v>50.87</c:v>
                </c:pt>
                <c:pt idx="3">
                  <c:v>61.86</c:v>
                </c:pt>
                <c:pt idx="4">
                  <c:v>73.78</c:v>
                </c:pt>
                <c:pt idx="5">
                  <c:v>85.85</c:v>
                </c:pt>
                <c:pt idx="6">
                  <c:v>97.58</c:v>
                </c:pt>
                <c:pt idx="7">
                  <c:v>109.39</c:v>
                </c:pt>
                <c:pt idx="8">
                  <c:v>119.5</c:v>
                </c:pt>
                <c:pt idx="9">
                  <c:v>131.49</c:v>
                </c:pt>
                <c:pt idx="10">
                  <c:v>142.1</c:v>
                </c:pt>
                <c:pt idx="11">
                  <c:v>153.31</c:v>
                </c:pt>
                <c:pt idx="12">
                  <c:v>168.07</c:v>
                </c:pt>
                <c:pt idx="13">
                  <c:v>187.11</c:v>
                </c:pt>
                <c:pt idx="14">
                  <c:v>211.69</c:v>
                </c:pt>
                <c:pt idx="15">
                  <c:v>241.11</c:v>
                </c:pt>
                <c:pt idx="16">
                  <c:v>288.60000000000002</c:v>
                </c:pt>
                <c:pt idx="17">
                  <c:v>357.13</c:v>
                </c:pt>
                <c:pt idx="18">
                  <c:v>477.03</c:v>
                </c:pt>
                <c:pt idx="19">
                  <c:v>721.28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D5-4773-B904-E23B5A88F4BD}"/>
            </c:ext>
          </c:extLst>
        </c:ser>
        <c:ser>
          <c:idx val="5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(Ty)'!$E$82:$E$101</c:f>
              <c:numCache>
                <c:formatCode>General</c:formatCode>
                <c:ptCount val="20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</c:numCache>
            </c:numRef>
          </c:xVal>
          <c:yVal>
            <c:numRef>
              <c:f>'Run 1 (Ty)'!$D$82:$D$101</c:f>
              <c:numCache>
                <c:formatCode>General</c:formatCode>
                <c:ptCount val="20"/>
                <c:pt idx="0">
                  <c:v>56.49</c:v>
                </c:pt>
                <c:pt idx="1">
                  <c:v>67.41</c:v>
                </c:pt>
                <c:pt idx="2">
                  <c:v>89.88</c:v>
                </c:pt>
                <c:pt idx="3">
                  <c:v>109.95</c:v>
                </c:pt>
                <c:pt idx="4">
                  <c:v>128.11000000000001</c:v>
                </c:pt>
                <c:pt idx="5">
                  <c:v>144.63999999999999</c:v>
                </c:pt>
                <c:pt idx="6">
                  <c:v>159.84</c:v>
                </c:pt>
                <c:pt idx="7">
                  <c:v>174.68</c:v>
                </c:pt>
                <c:pt idx="8">
                  <c:v>186.7</c:v>
                </c:pt>
                <c:pt idx="9">
                  <c:v>200.51</c:v>
                </c:pt>
                <c:pt idx="10">
                  <c:v>211.91</c:v>
                </c:pt>
                <c:pt idx="11">
                  <c:v>223.78</c:v>
                </c:pt>
                <c:pt idx="12">
                  <c:v>238.84</c:v>
                </c:pt>
                <c:pt idx="13">
                  <c:v>257.83</c:v>
                </c:pt>
                <c:pt idx="14">
                  <c:v>280.25</c:v>
                </c:pt>
                <c:pt idx="15">
                  <c:v>306</c:v>
                </c:pt>
                <c:pt idx="16">
                  <c:v>346.67</c:v>
                </c:pt>
                <c:pt idx="17">
                  <c:v>402.15</c:v>
                </c:pt>
                <c:pt idx="18">
                  <c:v>501.62</c:v>
                </c:pt>
                <c:pt idx="19">
                  <c:v>714.34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D5-4773-B904-E23B5A88F4BD}"/>
            </c:ext>
          </c:extLst>
        </c:ser>
        <c:ser>
          <c:idx val="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(Ty)'!$E$102:$E$121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1 (Ty)'!$D$102:$D$121</c:f>
              <c:numCache>
                <c:formatCode>General</c:formatCode>
                <c:ptCount val="20"/>
                <c:pt idx="0">
                  <c:v>78.099999999999994</c:v>
                </c:pt>
                <c:pt idx="1">
                  <c:v>88.73</c:v>
                </c:pt>
                <c:pt idx="2">
                  <c:v>110.72</c:v>
                </c:pt>
                <c:pt idx="3">
                  <c:v>131.22999999999999</c:v>
                </c:pt>
                <c:pt idx="4">
                  <c:v>151.69999999999999</c:v>
                </c:pt>
                <c:pt idx="5">
                  <c:v>173.04</c:v>
                </c:pt>
                <c:pt idx="6">
                  <c:v>187.9</c:v>
                </c:pt>
                <c:pt idx="7">
                  <c:v>204.63</c:v>
                </c:pt>
                <c:pt idx="8">
                  <c:v>216.66</c:v>
                </c:pt>
                <c:pt idx="9">
                  <c:v>231.99</c:v>
                </c:pt>
                <c:pt idx="10">
                  <c:v>243.02</c:v>
                </c:pt>
                <c:pt idx="11">
                  <c:v>256.2</c:v>
                </c:pt>
                <c:pt idx="12">
                  <c:v>275.08999999999997</c:v>
                </c:pt>
                <c:pt idx="13">
                  <c:v>300.38</c:v>
                </c:pt>
                <c:pt idx="14">
                  <c:v>318.26</c:v>
                </c:pt>
                <c:pt idx="15">
                  <c:v>342.5</c:v>
                </c:pt>
                <c:pt idx="16">
                  <c:v>381.95</c:v>
                </c:pt>
                <c:pt idx="17">
                  <c:v>419.71</c:v>
                </c:pt>
                <c:pt idx="18">
                  <c:v>485.13</c:v>
                </c:pt>
                <c:pt idx="19">
                  <c:v>639.75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D5-4773-B904-E23B5A88F4BD}"/>
            </c:ext>
          </c:extLst>
        </c:ser>
        <c:ser>
          <c:idx val="6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(Ty)'!$E$122:$E$141</c:f>
              <c:numCache>
                <c:formatCode>General</c:formatCode>
                <c:ptCount val="20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</c:numCache>
            </c:numRef>
          </c:xVal>
          <c:yVal>
            <c:numRef>
              <c:f>'Run 1 (Ty)'!$D$122:$D$141</c:f>
              <c:numCache>
                <c:formatCode>General</c:formatCode>
                <c:ptCount val="20"/>
                <c:pt idx="0">
                  <c:v>54.83</c:v>
                </c:pt>
                <c:pt idx="1">
                  <c:v>61.13</c:v>
                </c:pt>
                <c:pt idx="2">
                  <c:v>73.52</c:v>
                </c:pt>
                <c:pt idx="3">
                  <c:v>84.73</c:v>
                </c:pt>
                <c:pt idx="4">
                  <c:v>94.64</c:v>
                </c:pt>
                <c:pt idx="5">
                  <c:v>104.55</c:v>
                </c:pt>
                <c:pt idx="6">
                  <c:v>113.74</c:v>
                </c:pt>
                <c:pt idx="7">
                  <c:v>122.57</c:v>
                </c:pt>
                <c:pt idx="8">
                  <c:v>130.38</c:v>
                </c:pt>
                <c:pt idx="9">
                  <c:v>139.66</c:v>
                </c:pt>
                <c:pt idx="10">
                  <c:v>147.34</c:v>
                </c:pt>
                <c:pt idx="11">
                  <c:v>155.44999999999999</c:v>
                </c:pt>
                <c:pt idx="12">
                  <c:v>165.84</c:v>
                </c:pt>
                <c:pt idx="13">
                  <c:v>180.97</c:v>
                </c:pt>
                <c:pt idx="14">
                  <c:v>198.23</c:v>
                </c:pt>
                <c:pt idx="15">
                  <c:v>219.19</c:v>
                </c:pt>
                <c:pt idx="16">
                  <c:v>254.75</c:v>
                </c:pt>
                <c:pt idx="17">
                  <c:v>308.55</c:v>
                </c:pt>
                <c:pt idx="18">
                  <c:v>419.9</c:v>
                </c:pt>
                <c:pt idx="19">
                  <c:v>694.57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D5-4773-B904-E23B5A88F4BD}"/>
            </c:ext>
          </c:extLst>
        </c:ser>
        <c:ser>
          <c:idx val="7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(Ty)'!$E$142:$E$161</c:f>
              <c:numCache>
                <c:formatCode>General</c:formatCode>
                <c:ptCount val="20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</c:numCache>
            </c:numRef>
          </c:xVal>
          <c:yVal>
            <c:numRef>
              <c:f>'Run 1 (Ty)'!$D$142:$D$161</c:f>
              <c:numCache>
                <c:formatCode>General</c:formatCode>
                <c:ptCount val="20"/>
                <c:pt idx="0">
                  <c:v>66.33</c:v>
                </c:pt>
                <c:pt idx="1">
                  <c:v>78.61</c:v>
                </c:pt>
                <c:pt idx="2">
                  <c:v>104.62</c:v>
                </c:pt>
                <c:pt idx="3">
                  <c:v>127.76</c:v>
                </c:pt>
                <c:pt idx="4">
                  <c:v>147.83000000000001</c:v>
                </c:pt>
                <c:pt idx="5">
                  <c:v>167.2</c:v>
                </c:pt>
                <c:pt idx="6">
                  <c:v>185.61</c:v>
                </c:pt>
                <c:pt idx="7">
                  <c:v>203.22</c:v>
                </c:pt>
                <c:pt idx="8">
                  <c:v>216.95</c:v>
                </c:pt>
                <c:pt idx="9">
                  <c:v>232.04</c:v>
                </c:pt>
                <c:pt idx="10">
                  <c:v>244.99</c:v>
                </c:pt>
                <c:pt idx="11">
                  <c:v>258.57</c:v>
                </c:pt>
                <c:pt idx="12">
                  <c:v>275.42</c:v>
                </c:pt>
                <c:pt idx="13">
                  <c:v>296.8</c:v>
                </c:pt>
                <c:pt idx="14">
                  <c:v>321</c:v>
                </c:pt>
                <c:pt idx="15">
                  <c:v>349.3</c:v>
                </c:pt>
                <c:pt idx="16">
                  <c:v>392.49</c:v>
                </c:pt>
                <c:pt idx="17">
                  <c:v>452.93</c:v>
                </c:pt>
                <c:pt idx="18">
                  <c:v>567.84</c:v>
                </c:pt>
                <c:pt idx="19">
                  <c:v>813.38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D5-4773-B904-E23B5A88F4BD}"/>
            </c:ext>
          </c:extLst>
        </c:ser>
        <c:ser>
          <c:idx val="8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(Ty)'!$E$162:$E$181</c:f>
              <c:numCache>
                <c:formatCode>General</c:formatCode>
                <c:ptCount val="20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</c:numCache>
            </c:numRef>
          </c:xVal>
          <c:yVal>
            <c:numRef>
              <c:f>'Run 1 (Ty)'!$D$162:$D$181</c:f>
              <c:numCache>
                <c:formatCode>General</c:formatCode>
                <c:ptCount val="20"/>
                <c:pt idx="0">
                  <c:v>66.75</c:v>
                </c:pt>
                <c:pt idx="1">
                  <c:v>80.760000000000005</c:v>
                </c:pt>
                <c:pt idx="2">
                  <c:v>107.9</c:v>
                </c:pt>
                <c:pt idx="3">
                  <c:v>132.01</c:v>
                </c:pt>
                <c:pt idx="4">
                  <c:v>154.22</c:v>
                </c:pt>
                <c:pt idx="5">
                  <c:v>174.97</c:v>
                </c:pt>
                <c:pt idx="6">
                  <c:v>194.64</c:v>
                </c:pt>
                <c:pt idx="7">
                  <c:v>213.26</c:v>
                </c:pt>
                <c:pt idx="8">
                  <c:v>228.69</c:v>
                </c:pt>
                <c:pt idx="9">
                  <c:v>245.85</c:v>
                </c:pt>
                <c:pt idx="10">
                  <c:v>261.41000000000003</c:v>
                </c:pt>
                <c:pt idx="11">
                  <c:v>277.49</c:v>
                </c:pt>
                <c:pt idx="12">
                  <c:v>297.48</c:v>
                </c:pt>
                <c:pt idx="13">
                  <c:v>322.77</c:v>
                </c:pt>
                <c:pt idx="14">
                  <c:v>351.82</c:v>
                </c:pt>
                <c:pt idx="15">
                  <c:v>385.83</c:v>
                </c:pt>
                <c:pt idx="16">
                  <c:v>439.3</c:v>
                </c:pt>
                <c:pt idx="17">
                  <c:v>512.41999999999996</c:v>
                </c:pt>
                <c:pt idx="18">
                  <c:v>643.14</c:v>
                </c:pt>
                <c:pt idx="19">
                  <c:v>924.01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6D5-4773-B904-E23B5A88F4BD}"/>
            </c:ext>
          </c:extLst>
        </c:ser>
        <c:ser>
          <c:idx val="9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(Ty)'!$E$182:$E$201</c:f>
              <c:numCache>
                <c:formatCode>General</c:formatCode>
                <c:ptCount val="20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</c:numCache>
            </c:numRef>
          </c:xVal>
          <c:yVal>
            <c:numRef>
              <c:f>'Run 1 (Ty)'!$D$182:$D$201</c:f>
              <c:numCache>
                <c:formatCode>General</c:formatCode>
                <c:ptCount val="20"/>
                <c:pt idx="0">
                  <c:v>28.69</c:v>
                </c:pt>
                <c:pt idx="1">
                  <c:v>31.22</c:v>
                </c:pt>
                <c:pt idx="2">
                  <c:v>35.69</c:v>
                </c:pt>
                <c:pt idx="3">
                  <c:v>39.75</c:v>
                </c:pt>
                <c:pt idx="4">
                  <c:v>42.86</c:v>
                </c:pt>
                <c:pt idx="5">
                  <c:v>46.03</c:v>
                </c:pt>
                <c:pt idx="6">
                  <c:v>48.81</c:v>
                </c:pt>
                <c:pt idx="7">
                  <c:v>51</c:v>
                </c:pt>
                <c:pt idx="8">
                  <c:v>53.18</c:v>
                </c:pt>
                <c:pt idx="9">
                  <c:v>55.18</c:v>
                </c:pt>
                <c:pt idx="10">
                  <c:v>56.89</c:v>
                </c:pt>
                <c:pt idx="11">
                  <c:v>59.11</c:v>
                </c:pt>
                <c:pt idx="12">
                  <c:v>61.68</c:v>
                </c:pt>
                <c:pt idx="13">
                  <c:v>64.81</c:v>
                </c:pt>
                <c:pt idx="14">
                  <c:v>68.62</c:v>
                </c:pt>
                <c:pt idx="15">
                  <c:v>72.86</c:v>
                </c:pt>
                <c:pt idx="16">
                  <c:v>77.930000000000007</c:v>
                </c:pt>
                <c:pt idx="17">
                  <c:v>84.59</c:v>
                </c:pt>
                <c:pt idx="18">
                  <c:v>98.49</c:v>
                </c:pt>
                <c:pt idx="19">
                  <c:v>125.98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6D5-4773-B904-E23B5A88F4BD}"/>
            </c:ext>
          </c:extLst>
        </c:ser>
        <c:ser>
          <c:idx val="10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(Ty)'!$E$202:$E$221</c:f>
              <c:numCache>
                <c:formatCode>General</c:formatCode>
                <c:ptCount val="20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</c:numCache>
            </c:numRef>
          </c:xVal>
          <c:yVal>
            <c:numRef>
              <c:f>'Run 1 (Ty)'!$D$202:$D$221</c:f>
              <c:numCache>
                <c:formatCode>General</c:formatCode>
                <c:ptCount val="20"/>
                <c:pt idx="0">
                  <c:v>194.99</c:v>
                </c:pt>
                <c:pt idx="1">
                  <c:v>226.82</c:v>
                </c:pt>
                <c:pt idx="2">
                  <c:v>294.11</c:v>
                </c:pt>
                <c:pt idx="3">
                  <c:v>350.67</c:v>
                </c:pt>
                <c:pt idx="4">
                  <c:v>403.39</c:v>
                </c:pt>
                <c:pt idx="5">
                  <c:v>454.59</c:v>
                </c:pt>
                <c:pt idx="6">
                  <c:v>494.4</c:v>
                </c:pt>
                <c:pt idx="7">
                  <c:v>558.38</c:v>
                </c:pt>
                <c:pt idx="8">
                  <c:v>585.75</c:v>
                </c:pt>
                <c:pt idx="9">
                  <c:v>617.01</c:v>
                </c:pt>
                <c:pt idx="10">
                  <c:v>640.16</c:v>
                </c:pt>
                <c:pt idx="11">
                  <c:v>666.12</c:v>
                </c:pt>
                <c:pt idx="12">
                  <c:v>828.51</c:v>
                </c:pt>
                <c:pt idx="13">
                  <c:v>953.63</c:v>
                </c:pt>
                <c:pt idx="14">
                  <c:v>1003.66</c:v>
                </c:pt>
                <c:pt idx="15">
                  <c:v>1061.47</c:v>
                </c:pt>
                <c:pt idx="16">
                  <c:v>1140.4000000000001</c:v>
                </c:pt>
                <c:pt idx="17">
                  <c:v>1249.95</c:v>
                </c:pt>
                <c:pt idx="18">
                  <c:v>1593.93</c:v>
                </c:pt>
                <c:pt idx="19">
                  <c:v>2207.9899999999998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6D5-4773-B904-E23B5A88F4BD}"/>
            </c:ext>
          </c:extLst>
        </c:ser>
        <c:ser>
          <c:idx val="11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(Ty)'!$E$222:$E$241</c:f>
              <c:numCache>
                <c:formatCode>General</c:formatCode>
                <c:ptCount val="20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</c:numCache>
            </c:numRef>
          </c:xVal>
          <c:yVal>
            <c:numRef>
              <c:f>'Run 1 (Ty)'!$D$222:$D$241</c:f>
              <c:numCache>
                <c:formatCode>General</c:formatCode>
                <c:ptCount val="20"/>
                <c:pt idx="0">
                  <c:v>176.36</c:v>
                </c:pt>
                <c:pt idx="1">
                  <c:v>182.23</c:v>
                </c:pt>
                <c:pt idx="2">
                  <c:v>189.78</c:v>
                </c:pt>
                <c:pt idx="3">
                  <c:v>202.35</c:v>
                </c:pt>
                <c:pt idx="4">
                  <c:v>214.17</c:v>
                </c:pt>
                <c:pt idx="5">
                  <c:v>231.17</c:v>
                </c:pt>
                <c:pt idx="6">
                  <c:v>252.85</c:v>
                </c:pt>
                <c:pt idx="7">
                  <c:v>290.70999999999998</c:v>
                </c:pt>
                <c:pt idx="8">
                  <c:v>302.2</c:v>
                </c:pt>
                <c:pt idx="9">
                  <c:v>322.67</c:v>
                </c:pt>
                <c:pt idx="10">
                  <c:v>332.61</c:v>
                </c:pt>
                <c:pt idx="11">
                  <c:v>345.95</c:v>
                </c:pt>
                <c:pt idx="12">
                  <c:v>553.07000000000005</c:v>
                </c:pt>
                <c:pt idx="13">
                  <c:v>653.25</c:v>
                </c:pt>
                <c:pt idx="14">
                  <c:v>669.86</c:v>
                </c:pt>
                <c:pt idx="15">
                  <c:v>694.61</c:v>
                </c:pt>
                <c:pt idx="16">
                  <c:v>728.94</c:v>
                </c:pt>
                <c:pt idx="17">
                  <c:v>785.15</c:v>
                </c:pt>
                <c:pt idx="18">
                  <c:v>1029.1400000000001</c:v>
                </c:pt>
                <c:pt idx="19">
                  <c:v>1415.07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6D5-4773-B904-E23B5A88F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911469717713879"/>
              <c:y val="0.91272846833670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Output Size</a:t>
            </a:r>
            <a:endParaRPr lang="en-CA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77005607136188"/>
          <c:y val="0.12039579559597302"/>
          <c:w val="0.71641062213025775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2 (Alex)'!$A$2</c:f>
              <c:strCache>
                <c:ptCount val="1"/>
                <c:pt idx="0">
                  <c:v>Blue Marble</c:v>
                </c:pt>
              </c:strCache>
            </c:strRef>
          </c:tx>
          <c:spPr>
            <a:ln w="25400">
              <a:noFill/>
            </a:ln>
          </c:spPr>
          <c:xVal>
            <c:numRef>
              <c:f>'Run 2 (Alex)'!$D$2:$D$21</c:f>
              <c:numCache>
                <c:formatCode>General</c:formatCode>
                <c:ptCount val="20"/>
                <c:pt idx="0">
                  <c:v>4303.63</c:v>
                </c:pt>
                <c:pt idx="1">
                  <c:v>4688.58</c:v>
                </c:pt>
                <c:pt idx="2">
                  <c:v>5708.44</c:v>
                </c:pt>
                <c:pt idx="3">
                  <c:v>6751.51</c:v>
                </c:pt>
                <c:pt idx="4">
                  <c:v>7735.37</c:v>
                </c:pt>
                <c:pt idx="5">
                  <c:v>8673.99</c:v>
                </c:pt>
                <c:pt idx="6">
                  <c:v>9546.5499999999993</c:v>
                </c:pt>
                <c:pt idx="7">
                  <c:v>10383.129999999999</c:v>
                </c:pt>
                <c:pt idx="8">
                  <c:v>11098.08</c:v>
                </c:pt>
                <c:pt idx="9">
                  <c:v>11898.83</c:v>
                </c:pt>
                <c:pt idx="10">
                  <c:v>12602.11</c:v>
                </c:pt>
                <c:pt idx="11">
                  <c:v>13303.08</c:v>
                </c:pt>
                <c:pt idx="12">
                  <c:v>14216.14</c:v>
                </c:pt>
                <c:pt idx="13">
                  <c:v>15340.71</c:v>
                </c:pt>
                <c:pt idx="14">
                  <c:v>16728.330000000002</c:v>
                </c:pt>
                <c:pt idx="15">
                  <c:v>18266.02</c:v>
                </c:pt>
                <c:pt idx="16">
                  <c:v>20676.28</c:v>
                </c:pt>
                <c:pt idx="17">
                  <c:v>24141.11</c:v>
                </c:pt>
                <c:pt idx="18">
                  <c:v>30194.7</c:v>
                </c:pt>
                <c:pt idx="19">
                  <c:v>43187</c:v>
                </c:pt>
              </c:numCache>
            </c:numRef>
          </c:xVal>
          <c:yVal>
            <c:numRef>
              <c:f>'Run 2 (Alex)'!$F$2:$F$21</c:f>
              <c:numCache>
                <c:formatCode>General</c:formatCode>
                <c:ptCount val="20"/>
                <c:pt idx="0">
                  <c:v>1247.5182</c:v>
                </c:pt>
                <c:pt idx="1">
                  <c:v>1193.1796999999999</c:v>
                </c:pt>
                <c:pt idx="2">
                  <c:v>1087.5494000000001</c:v>
                </c:pt>
                <c:pt idx="3">
                  <c:v>1081.0061000000001</c:v>
                </c:pt>
                <c:pt idx="4">
                  <c:v>1082.1826000000001</c:v>
                </c:pt>
                <c:pt idx="5">
                  <c:v>1074.1394</c:v>
                </c:pt>
                <c:pt idx="6">
                  <c:v>1077.0487000000001</c:v>
                </c:pt>
                <c:pt idx="7">
                  <c:v>1080.1220000000001</c:v>
                </c:pt>
                <c:pt idx="8">
                  <c:v>1083.8811000000001</c:v>
                </c:pt>
                <c:pt idx="9">
                  <c:v>1088.566</c:v>
                </c:pt>
                <c:pt idx="10">
                  <c:v>1099.7257999999999</c:v>
                </c:pt>
                <c:pt idx="11">
                  <c:v>1155.9112</c:v>
                </c:pt>
                <c:pt idx="12">
                  <c:v>1203.1103000000001</c:v>
                </c:pt>
                <c:pt idx="13">
                  <c:v>1215.808</c:v>
                </c:pt>
                <c:pt idx="14">
                  <c:v>1108.5581</c:v>
                </c:pt>
                <c:pt idx="15">
                  <c:v>1111.5966000000001</c:v>
                </c:pt>
                <c:pt idx="16">
                  <c:v>1124.0531000000001</c:v>
                </c:pt>
                <c:pt idx="17">
                  <c:v>1146.3145</c:v>
                </c:pt>
                <c:pt idx="18">
                  <c:v>1155.548</c:v>
                </c:pt>
                <c:pt idx="19">
                  <c:v>1188.2609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4-40D5-8367-C218D8BF8666}"/>
            </c:ext>
          </c:extLst>
        </c:ser>
        <c:ser>
          <c:idx val="2"/>
          <c:order val="1"/>
          <c:tx>
            <c:strRef>
              <c:f>'Run 2 (Alex)'!$A$22</c:f>
              <c:strCache>
                <c:ptCount val="1"/>
                <c:pt idx="0">
                  <c:v>Blue Marble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(Alex)'!$D$22:$D$41</c:f>
              <c:numCache>
                <c:formatCode>General</c:formatCode>
                <c:ptCount val="20"/>
                <c:pt idx="0">
                  <c:v>74650.69</c:v>
                </c:pt>
                <c:pt idx="1">
                  <c:v>16.670000000000002</c:v>
                </c:pt>
                <c:pt idx="2">
                  <c:v>19.03</c:v>
                </c:pt>
                <c:pt idx="3">
                  <c:v>22.99</c:v>
                </c:pt>
                <c:pt idx="4">
                  <c:v>26.73</c:v>
                </c:pt>
                <c:pt idx="5">
                  <c:v>29.58</c:v>
                </c:pt>
                <c:pt idx="6">
                  <c:v>32.520000000000003</c:v>
                </c:pt>
                <c:pt idx="7">
                  <c:v>35</c:v>
                </c:pt>
                <c:pt idx="8">
                  <c:v>36.82</c:v>
                </c:pt>
                <c:pt idx="9">
                  <c:v>38.56</c:v>
                </c:pt>
                <c:pt idx="10">
                  <c:v>40.049999999999997</c:v>
                </c:pt>
                <c:pt idx="11">
                  <c:v>41.41</c:v>
                </c:pt>
                <c:pt idx="12">
                  <c:v>43.26</c:v>
                </c:pt>
                <c:pt idx="13">
                  <c:v>45.43</c:v>
                </c:pt>
                <c:pt idx="14">
                  <c:v>47.86</c:v>
                </c:pt>
                <c:pt idx="15">
                  <c:v>50.94</c:v>
                </c:pt>
                <c:pt idx="16">
                  <c:v>54.28</c:v>
                </c:pt>
                <c:pt idx="17">
                  <c:v>57.99</c:v>
                </c:pt>
                <c:pt idx="18">
                  <c:v>62.63</c:v>
                </c:pt>
                <c:pt idx="19">
                  <c:v>72.44</c:v>
                </c:pt>
              </c:numCache>
            </c:numRef>
          </c:xVal>
          <c:yVal>
            <c:numRef>
              <c:f>'Run 2 (Alex)'!$F$22:$F$41</c:f>
              <c:numCache>
                <c:formatCode>General</c:formatCode>
                <c:ptCount val="20"/>
                <c:pt idx="0">
                  <c:v>1369.5266999999999</c:v>
                </c:pt>
                <c:pt idx="1">
                  <c:v>4.0388000000000002</c:v>
                </c:pt>
                <c:pt idx="2">
                  <c:v>4.0224000000000002</c:v>
                </c:pt>
                <c:pt idx="3">
                  <c:v>4.5716999999999999</c:v>
                </c:pt>
                <c:pt idx="4">
                  <c:v>3.9218999999999999</c:v>
                </c:pt>
                <c:pt idx="5">
                  <c:v>3.8996</c:v>
                </c:pt>
                <c:pt idx="6">
                  <c:v>3.9420000000000002</c:v>
                </c:pt>
                <c:pt idx="7">
                  <c:v>3.9470999999999998</c:v>
                </c:pt>
                <c:pt idx="8">
                  <c:v>3.9531999999999998</c:v>
                </c:pt>
                <c:pt idx="9">
                  <c:v>4.0057999999999998</c:v>
                </c:pt>
                <c:pt idx="10">
                  <c:v>4.3010000000000002</c:v>
                </c:pt>
                <c:pt idx="11">
                  <c:v>4.4173999999999998</c:v>
                </c:pt>
                <c:pt idx="12">
                  <c:v>4.0209000000000001</c:v>
                </c:pt>
                <c:pt idx="13">
                  <c:v>3.9876</c:v>
                </c:pt>
                <c:pt idx="14">
                  <c:v>4.0274999999999999</c:v>
                </c:pt>
                <c:pt idx="15">
                  <c:v>3.9933999999999998</c:v>
                </c:pt>
                <c:pt idx="16">
                  <c:v>4.0244999999999997</c:v>
                </c:pt>
                <c:pt idx="17">
                  <c:v>3.9948999999999999</c:v>
                </c:pt>
                <c:pt idx="18">
                  <c:v>4.0159000000000002</c:v>
                </c:pt>
                <c:pt idx="19">
                  <c:v>4.4687999999999999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04-40D5-8367-C218D8BF8666}"/>
            </c:ext>
          </c:extLst>
        </c:ser>
        <c:ser>
          <c:idx val="3"/>
          <c:order val="2"/>
          <c:tx>
            <c:strRef>
              <c:f>'Run 2 (Alex)'!$A$42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(Alex)'!$D$42:$D$61</c:f>
              <c:numCache>
                <c:formatCode>General</c:formatCode>
                <c:ptCount val="20"/>
                <c:pt idx="0">
                  <c:v>90.01</c:v>
                </c:pt>
                <c:pt idx="1">
                  <c:v>126.99</c:v>
                </c:pt>
                <c:pt idx="2">
                  <c:v>32.520000000000003</c:v>
                </c:pt>
                <c:pt idx="3">
                  <c:v>42</c:v>
                </c:pt>
                <c:pt idx="4">
                  <c:v>60.52</c:v>
                </c:pt>
                <c:pt idx="5">
                  <c:v>76.319999999999993</c:v>
                </c:pt>
                <c:pt idx="6">
                  <c:v>90.44</c:v>
                </c:pt>
                <c:pt idx="7">
                  <c:v>103.22</c:v>
                </c:pt>
                <c:pt idx="8">
                  <c:v>114.72</c:v>
                </c:pt>
                <c:pt idx="9">
                  <c:v>125.88</c:v>
                </c:pt>
                <c:pt idx="10">
                  <c:v>134.72999999999999</c:v>
                </c:pt>
                <c:pt idx="11">
                  <c:v>144.65</c:v>
                </c:pt>
                <c:pt idx="12">
                  <c:v>152.96</c:v>
                </c:pt>
                <c:pt idx="13">
                  <c:v>161.75</c:v>
                </c:pt>
                <c:pt idx="14">
                  <c:v>172.79</c:v>
                </c:pt>
                <c:pt idx="15">
                  <c:v>186.25</c:v>
                </c:pt>
                <c:pt idx="16">
                  <c:v>202.7</c:v>
                </c:pt>
                <c:pt idx="17">
                  <c:v>221.25</c:v>
                </c:pt>
                <c:pt idx="18">
                  <c:v>250.31</c:v>
                </c:pt>
                <c:pt idx="19">
                  <c:v>290.05</c:v>
                </c:pt>
              </c:numCache>
            </c:numRef>
          </c:xVal>
          <c:yVal>
            <c:numRef>
              <c:f>'Run 2 (Alex)'!$F$42:$F$61</c:f>
              <c:numCache>
                <c:formatCode>General</c:formatCode>
                <c:ptCount val="20"/>
                <c:pt idx="0">
                  <c:v>4.0717999999999996</c:v>
                </c:pt>
                <c:pt idx="1">
                  <c:v>4.2516999999999996</c:v>
                </c:pt>
                <c:pt idx="2">
                  <c:v>7.8098000000000001</c:v>
                </c:pt>
                <c:pt idx="3">
                  <c:v>7.8403999999999998</c:v>
                </c:pt>
                <c:pt idx="4">
                  <c:v>8.0931999999999995</c:v>
                </c:pt>
                <c:pt idx="5">
                  <c:v>8.2835000000000001</c:v>
                </c:pt>
                <c:pt idx="6">
                  <c:v>8.0076999999999998</c:v>
                </c:pt>
                <c:pt idx="7">
                  <c:v>8.0284999999999993</c:v>
                </c:pt>
                <c:pt idx="8">
                  <c:v>8.0879999999999992</c:v>
                </c:pt>
                <c:pt idx="9">
                  <c:v>8.4736999999999991</c:v>
                </c:pt>
                <c:pt idx="10">
                  <c:v>8.1623000000000001</c:v>
                </c:pt>
                <c:pt idx="11">
                  <c:v>8.3300999999999998</c:v>
                </c:pt>
                <c:pt idx="12">
                  <c:v>8.2287999999999997</c:v>
                </c:pt>
                <c:pt idx="13">
                  <c:v>8.2332999999999998</c:v>
                </c:pt>
                <c:pt idx="14">
                  <c:v>8.2556999999999992</c:v>
                </c:pt>
                <c:pt idx="15">
                  <c:v>8.2940000000000005</c:v>
                </c:pt>
                <c:pt idx="16">
                  <c:v>8.3571000000000009</c:v>
                </c:pt>
                <c:pt idx="17">
                  <c:v>8.4266000000000005</c:v>
                </c:pt>
                <c:pt idx="18">
                  <c:v>8.6485000000000003</c:v>
                </c:pt>
                <c:pt idx="19">
                  <c:v>8.5966000000000005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04-40D5-8367-C218D8BF8666}"/>
            </c:ext>
          </c:extLst>
        </c:ser>
        <c:ser>
          <c:idx val="4"/>
          <c:order val="3"/>
          <c:tx>
            <c:strRef>
              <c:f>'Run 2 (Alex)'!$A$62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(Alex)'!$D$62:$D$81</c:f>
              <c:numCache>
                <c:formatCode>General</c:formatCode>
                <c:ptCount val="20"/>
                <c:pt idx="0">
                  <c:v>359.88</c:v>
                </c:pt>
                <c:pt idx="1">
                  <c:v>506.14</c:v>
                </c:pt>
                <c:pt idx="2">
                  <c:v>845.84</c:v>
                </c:pt>
                <c:pt idx="3">
                  <c:v>106.62</c:v>
                </c:pt>
                <c:pt idx="4">
                  <c:v>134.97</c:v>
                </c:pt>
                <c:pt idx="5">
                  <c:v>193.03</c:v>
                </c:pt>
                <c:pt idx="6">
                  <c:v>239.38</c:v>
                </c:pt>
                <c:pt idx="7">
                  <c:v>280.44</c:v>
                </c:pt>
                <c:pt idx="8">
                  <c:v>320.19</c:v>
                </c:pt>
                <c:pt idx="9">
                  <c:v>354.61</c:v>
                </c:pt>
                <c:pt idx="10">
                  <c:v>411.1</c:v>
                </c:pt>
                <c:pt idx="11">
                  <c:v>431.21</c:v>
                </c:pt>
                <c:pt idx="12">
                  <c:v>450.81</c:v>
                </c:pt>
                <c:pt idx="13">
                  <c:v>470.45</c:v>
                </c:pt>
                <c:pt idx="14">
                  <c:v>495.07</c:v>
                </c:pt>
                <c:pt idx="15">
                  <c:v>654.36</c:v>
                </c:pt>
                <c:pt idx="16">
                  <c:v>773.47</c:v>
                </c:pt>
                <c:pt idx="17">
                  <c:v>817.89</c:v>
                </c:pt>
                <c:pt idx="18">
                  <c:v>869.21</c:v>
                </c:pt>
                <c:pt idx="19">
                  <c:v>926.88</c:v>
                </c:pt>
              </c:numCache>
            </c:numRef>
          </c:xVal>
          <c:yVal>
            <c:numRef>
              <c:f>'Run 2 (Alex)'!$F$62:$F$81</c:f>
              <c:numCache>
                <c:formatCode>General</c:formatCode>
                <c:ptCount val="20"/>
                <c:pt idx="0">
                  <c:v>8.7987000000000002</c:v>
                </c:pt>
                <c:pt idx="1">
                  <c:v>9.5649999999999995</c:v>
                </c:pt>
                <c:pt idx="2">
                  <c:v>10.620100000000001</c:v>
                </c:pt>
                <c:pt idx="3">
                  <c:v>30.802199999999999</c:v>
                </c:pt>
                <c:pt idx="4">
                  <c:v>30.8644</c:v>
                </c:pt>
                <c:pt idx="5">
                  <c:v>31.250599999999999</c:v>
                </c:pt>
                <c:pt idx="6">
                  <c:v>31.272400000000001</c:v>
                </c:pt>
                <c:pt idx="7">
                  <c:v>31.616099999999999</c:v>
                </c:pt>
                <c:pt idx="8">
                  <c:v>31.6783</c:v>
                </c:pt>
                <c:pt idx="9">
                  <c:v>31.9907</c:v>
                </c:pt>
                <c:pt idx="10">
                  <c:v>31.8522</c:v>
                </c:pt>
                <c:pt idx="11">
                  <c:v>32.120699999999999</c:v>
                </c:pt>
                <c:pt idx="12">
                  <c:v>32.093400000000003</c:v>
                </c:pt>
                <c:pt idx="13">
                  <c:v>32.279299999999999</c:v>
                </c:pt>
                <c:pt idx="14">
                  <c:v>32.17</c:v>
                </c:pt>
                <c:pt idx="15">
                  <c:v>32.809699999999999</c:v>
                </c:pt>
                <c:pt idx="16">
                  <c:v>33.177199999999999</c:v>
                </c:pt>
                <c:pt idx="17">
                  <c:v>33.471699999999998</c:v>
                </c:pt>
                <c:pt idx="18">
                  <c:v>33.603999999999999</c:v>
                </c:pt>
                <c:pt idx="19">
                  <c:v>33.498399999999997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04-40D5-8367-C218D8BF8666}"/>
            </c:ext>
          </c:extLst>
        </c:ser>
        <c:ser>
          <c:idx val="5"/>
          <c:order val="4"/>
          <c:tx>
            <c:strRef>
              <c:f>'Run 2 (Alex)'!$A$82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(Alex)'!$D$82:$D$101</c:f>
              <c:numCache>
                <c:formatCode>General</c:formatCode>
                <c:ptCount val="20"/>
                <c:pt idx="0">
                  <c:v>1006</c:v>
                </c:pt>
                <c:pt idx="1">
                  <c:v>1280.48</c:v>
                </c:pt>
                <c:pt idx="2">
                  <c:v>1711.77</c:v>
                </c:pt>
                <c:pt idx="3">
                  <c:v>2640.3</c:v>
                </c:pt>
                <c:pt idx="4">
                  <c:v>89.84</c:v>
                </c:pt>
                <c:pt idx="5">
                  <c:v>93.56</c:v>
                </c:pt>
                <c:pt idx="6">
                  <c:v>101.23</c:v>
                </c:pt>
                <c:pt idx="7">
                  <c:v>109.58</c:v>
                </c:pt>
                <c:pt idx="8">
                  <c:v>119.55</c:v>
                </c:pt>
                <c:pt idx="9">
                  <c:v>130.86000000000001</c:v>
                </c:pt>
                <c:pt idx="10">
                  <c:v>151.05000000000001</c:v>
                </c:pt>
                <c:pt idx="11">
                  <c:v>185.39</c:v>
                </c:pt>
                <c:pt idx="12">
                  <c:v>192.33</c:v>
                </c:pt>
                <c:pt idx="13">
                  <c:v>198.28</c:v>
                </c:pt>
                <c:pt idx="14">
                  <c:v>204.26</c:v>
                </c:pt>
                <c:pt idx="15">
                  <c:v>218.52</c:v>
                </c:pt>
                <c:pt idx="16">
                  <c:v>424.65</c:v>
                </c:pt>
                <c:pt idx="17">
                  <c:v>523.47</c:v>
                </c:pt>
                <c:pt idx="18">
                  <c:v>540.89</c:v>
                </c:pt>
                <c:pt idx="19">
                  <c:v>569.67999999999995</c:v>
                </c:pt>
              </c:numCache>
            </c:numRef>
          </c:xVal>
          <c:yVal>
            <c:numRef>
              <c:f>'Run 2 (Alex)'!$F$82:$F$101</c:f>
              <c:numCache>
                <c:formatCode>General</c:formatCode>
                <c:ptCount val="20"/>
                <c:pt idx="0">
                  <c:v>34.1571</c:v>
                </c:pt>
                <c:pt idx="1">
                  <c:v>34.042200000000001</c:v>
                </c:pt>
                <c:pt idx="2">
                  <c:v>34.360900000000001</c:v>
                </c:pt>
                <c:pt idx="3">
                  <c:v>37.623399999999997</c:v>
                </c:pt>
                <c:pt idx="4">
                  <c:v>30.718499999999999</c:v>
                </c:pt>
                <c:pt idx="5">
                  <c:v>30.7957</c:v>
                </c:pt>
                <c:pt idx="6">
                  <c:v>30.8474</c:v>
                </c:pt>
                <c:pt idx="7">
                  <c:v>31.112100000000002</c:v>
                </c:pt>
                <c:pt idx="8">
                  <c:v>31.0642</c:v>
                </c:pt>
                <c:pt idx="9">
                  <c:v>31.008500000000002</c:v>
                </c:pt>
                <c:pt idx="10">
                  <c:v>30.995200000000001</c:v>
                </c:pt>
                <c:pt idx="11">
                  <c:v>31.195599999999999</c:v>
                </c:pt>
                <c:pt idx="12">
                  <c:v>31.1447</c:v>
                </c:pt>
                <c:pt idx="13">
                  <c:v>31.1813</c:v>
                </c:pt>
                <c:pt idx="14">
                  <c:v>31.181999999999999</c:v>
                </c:pt>
                <c:pt idx="15">
                  <c:v>31.254799999999999</c:v>
                </c:pt>
                <c:pt idx="16">
                  <c:v>32.187399999999997</c:v>
                </c:pt>
                <c:pt idx="17">
                  <c:v>32.413600000000002</c:v>
                </c:pt>
                <c:pt idx="18">
                  <c:v>32.639699999999998</c:v>
                </c:pt>
                <c:pt idx="19">
                  <c:v>32.444800000000001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04-40D5-8367-C218D8BF8666}"/>
            </c:ext>
          </c:extLst>
        </c:ser>
        <c:ser>
          <c:idx val="0"/>
          <c:order val="5"/>
          <c:tx>
            <c:strRef>
              <c:f>'Run 2 (Alex)'!$A$102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(Alex)'!$D$102:$D$121</c:f>
              <c:numCache>
                <c:formatCode>General</c:formatCode>
                <c:ptCount val="20"/>
                <c:pt idx="0">
                  <c:v>593.29999999999995</c:v>
                </c:pt>
                <c:pt idx="1">
                  <c:v>629.44000000000005</c:v>
                </c:pt>
                <c:pt idx="2">
                  <c:v>844.01</c:v>
                </c:pt>
                <c:pt idx="3">
                  <c:v>1143.49</c:v>
                </c:pt>
                <c:pt idx="4">
                  <c:v>1803.15</c:v>
                </c:pt>
                <c:pt idx="5">
                  <c:v>8.2899999999999991</c:v>
                </c:pt>
                <c:pt idx="6">
                  <c:v>9.67</c:v>
                </c:pt>
                <c:pt idx="7">
                  <c:v>14.07</c:v>
                </c:pt>
                <c:pt idx="8">
                  <c:v>17.93</c:v>
                </c:pt>
                <c:pt idx="9">
                  <c:v>21.81</c:v>
                </c:pt>
                <c:pt idx="10">
                  <c:v>25.22</c:v>
                </c:pt>
                <c:pt idx="11">
                  <c:v>28.32</c:v>
                </c:pt>
                <c:pt idx="12">
                  <c:v>31.26</c:v>
                </c:pt>
                <c:pt idx="13">
                  <c:v>33.590000000000003</c:v>
                </c:pt>
                <c:pt idx="14">
                  <c:v>36.33</c:v>
                </c:pt>
                <c:pt idx="15">
                  <c:v>38.74</c:v>
                </c:pt>
                <c:pt idx="16">
                  <c:v>41.14</c:v>
                </c:pt>
                <c:pt idx="17">
                  <c:v>44.14</c:v>
                </c:pt>
                <c:pt idx="18">
                  <c:v>47.93</c:v>
                </c:pt>
                <c:pt idx="19">
                  <c:v>52.13</c:v>
                </c:pt>
              </c:numCache>
            </c:numRef>
          </c:xVal>
          <c:yVal>
            <c:numRef>
              <c:f>'Run 2 (Alex)'!$F$102:$F$121</c:f>
              <c:numCache>
                <c:formatCode>General</c:formatCode>
                <c:ptCount val="20"/>
                <c:pt idx="0">
                  <c:v>32.733499999999999</c:v>
                </c:pt>
                <c:pt idx="1">
                  <c:v>32.623699999999999</c:v>
                </c:pt>
                <c:pt idx="2">
                  <c:v>33.039700000000003</c:v>
                </c:pt>
                <c:pt idx="3">
                  <c:v>33.190899999999999</c:v>
                </c:pt>
                <c:pt idx="4">
                  <c:v>35.4377</c:v>
                </c:pt>
                <c:pt idx="5">
                  <c:v>1.9756</c:v>
                </c:pt>
                <c:pt idx="6">
                  <c:v>1.9911000000000001</c:v>
                </c:pt>
                <c:pt idx="7">
                  <c:v>2.0276999999999998</c:v>
                </c:pt>
                <c:pt idx="8">
                  <c:v>2.0207999999999999</c:v>
                </c:pt>
                <c:pt idx="9">
                  <c:v>2.0268000000000002</c:v>
                </c:pt>
                <c:pt idx="10">
                  <c:v>2.3429000000000002</c:v>
                </c:pt>
                <c:pt idx="11">
                  <c:v>2.2111000000000001</c:v>
                </c:pt>
                <c:pt idx="12">
                  <c:v>2.0577000000000001</c:v>
                </c:pt>
                <c:pt idx="13">
                  <c:v>2.0526</c:v>
                </c:pt>
                <c:pt idx="14">
                  <c:v>2.0689000000000002</c:v>
                </c:pt>
                <c:pt idx="15">
                  <c:v>2.1078999999999999</c:v>
                </c:pt>
                <c:pt idx="16">
                  <c:v>2.0907</c:v>
                </c:pt>
                <c:pt idx="17">
                  <c:v>2.0817000000000001</c:v>
                </c:pt>
                <c:pt idx="18">
                  <c:v>2.0762999999999998</c:v>
                </c:pt>
                <c:pt idx="19">
                  <c:v>2.0844999999999998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04-40D5-8367-C218D8BF8666}"/>
            </c:ext>
          </c:extLst>
        </c:ser>
        <c:ser>
          <c:idx val="6"/>
          <c:order val="6"/>
          <c:tx>
            <c:strRef>
              <c:f>'Run 2 (Alex)'!$A$122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(Alex)'!$D$122:$D$141</c:f>
              <c:numCache>
                <c:formatCode>General</c:formatCode>
                <c:ptCount val="20"/>
                <c:pt idx="0">
                  <c:v>57.09</c:v>
                </c:pt>
                <c:pt idx="1">
                  <c:v>64.739999999999995</c:v>
                </c:pt>
                <c:pt idx="2">
                  <c:v>75.010000000000005</c:v>
                </c:pt>
                <c:pt idx="3">
                  <c:v>92.31</c:v>
                </c:pt>
                <c:pt idx="4">
                  <c:v>127.85</c:v>
                </c:pt>
                <c:pt idx="5">
                  <c:v>213.55</c:v>
                </c:pt>
                <c:pt idx="6">
                  <c:v>13.83</c:v>
                </c:pt>
                <c:pt idx="7">
                  <c:v>16.600000000000001</c:v>
                </c:pt>
                <c:pt idx="8">
                  <c:v>22.16</c:v>
                </c:pt>
                <c:pt idx="9">
                  <c:v>26.74</c:v>
                </c:pt>
                <c:pt idx="10">
                  <c:v>31.24</c:v>
                </c:pt>
                <c:pt idx="11">
                  <c:v>35.08</c:v>
                </c:pt>
                <c:pt idx="12">
                  <c:v>38.619999999999997</c:v>
                </c:pt>
                <c:pt idx="13">
                  <c:v>43.51</c:v>
                </c:pt>
                <c:pt idx="14">
                  <c:v>45.42</c:v>
                </c:pt>
                <c:pt idx="15">
                  <c:v>47.27</c:v>
                </c:pt>
                <c:pt idx="16">
                  <c:v>49.11</c:v>
                </c:pt>
                <c:pt idx="17">
                  <c:v>51.32</c:v>
                </c:pt>
                <c:pt idx="18">
                  <c:v>60.87</c:v>
                </c:pt>
                <c:pt idx="19">
                  <c:v>68.45</c:v>
                </c:pt>
              </c:numCache>
            </c:numRef>
          </c:xVal>
          <c:yVal>
            <c:numRef>
              <c:f>'Run 2 (Alex)'!$F$122:$F$141</c:f>
              <c:numCache>
                <c:formatCode>General</c:formatCode>
                <c:ptCount val="20"/>
                <c:pt idx="0">
                  <c:v>2.12</c:v>
                </c:pt>
                <c:pt idx="1">
                  <c:v>2.2288999999999999</c:v>
                </c:pt>
                <c:pt idx="2">
                  <c:v>2.1877</c:v>
                </c:pt>
                <c:pt idx="3">
                  <c:v>2.2456</c:v>
                </c:pt>
                <c:pt idx="4">
                  <c:v>2.3290999999999999</c:v>
                </c:pt>
                <c:pt idx="5">
                  <c:v>2.5312999999999999</c:v>
                </c:pt>
                <c:pt idx="6">
                  <c:v>4.1940999999999997</c:v>
                </c:pt>
                <c:pt idx="7">
                  <c:v>3.9201999999999999</c:v>
                </c:pt>
                <c:pt idx="8">
                  <c:v>3.9239000000000002</c:v>
                </c:pt>
                <c:pt idx="9">
                  <c:v>3.9845000000000002</c:v>
                </c:pt>
                <c:pt idx="10">
                  <c:v>3.9908999999999999</c:v>
                </c:pt>
                <c:pt idx="11">
                  <c:v>4.5716999999999999</c:v>
                </c:pt>
                <c:pt idx="12">
                  <c:v>3.9706999999999999</c:v>
                </c:pt>
                <c:pt idx="13">
                  <c:v>4.0095000000000001</c:v>
                </c:pt>
                <c:pt idx="14">
                  <c:v>4.3353999999999999</c:v>
                </c:pt>
                <c:pt idx="15">
                  <c:v>4.0663</c:v>
                </c:pt>
                <c:pt idx="16">
                  <c:v>3.9643000000000002</c:v>
                </c:pt>
                <c:pt idx="17">
                  <c:v>3.9841000000000002</c:v>
                </c:pt>
                <c:pt idx="18">
                  <c:v>4.0090000000000003</c:v>
                </c:pt>
                <c:pt idx="19">
                  <c:v>4.0555000000000003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04-40D5-8367-C218D8BF8666}"/>
            </c:ext>
          </c:extLst>
        </c:ser>
        <c:ser>
          <c:idx val="7"/>
          <c:order val="7"/>
          <c:tx>
            <c:strRef>
              <c:f>'Run 2 (Alex)'!$A$142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(Alex)'!$D$142:$D$161</c:f>
              <c:numCache>
                <c:formatCode>General</c:formatCode>
                <c:ptCount val="20"/>
                <c:pt idx="0">
                  <c:v>72.36</c:v>
                </c:pt>
                <c:pt idx="1">
                  <c:v>76.83</c:v>
                </c:pt>
                <c:pt idx="2">
                  <c:v>82.65</c:v>
                </c:pt>
                <c:pt idx="3">
                  <c:v>90.73</c:v>
                </c:pt>
                <c:pt idx="4">
                  <c:v>113.33</c:v>
                </c:pt>
                <c:pt idx="5">
                  <c:v>150.22999999999999</c:v>
                </c:pt>
                <c:pt idx="6">
                  <c:v>231.95</c:v>
                </c:pt>
                <c:pt idx="7">
                  <c:v>39.49</c:v>
                </c:pt>
                <c:pt idx="8">
                  <c:v>49.93</c:v>
                </c:pt>
                <c:pt idx="9">
                  <c:v>71.55</c:v>
                </c:pt>
                <c:pt idx="10">
                  <c:v>90.7</c:v>
                </c:pt>
                <c:pt idx="11">
                  <c:v>107.69</c:v>
                </c:pt>
                <c:pt idx="12">
                  <c:v>123.85</c:v>
                </c:pt>
                <c:pt idx="13">
                  <c:v>138.66</c:v>
                </c:pt>
                <c:pt idx="14">
                  <c:v>152</c:v>
                </c:pt>
                <c:pt idx="15">
                  <c:v>161.65</c:v>
                </c:pt>
                <c:pt idx="16">
                  <c:v>171.89</c:v>
                </c:pt>
                <c:pt idx="17">
                  <c:v>180.73</c:v>
                </c:pt>
                <c:pt idx="18">
                  <c:v>189.94</c:v>
                </c:pt>
                <c:pt idx="19">
                  <c:v>201.5</c:v>
                </c:pt>
              </c:numCache>
            </c:numRef>
          </c:xVal>
          <c:yVal>
            <c:numRef>
              <c:f>'Run 2 (Alex)'!$F$142:$F$161</c:f>
              <c:numCache>
                <c:formatCode>General</c:formatCode>
                <c:ptCount val="20"/>
                <c:pt idx="0">
                  <c:v>4.0721999999999996</c:v>
                </c:pt>
                <c:pt idx="1">
                  <c:v>4.1508000000000003</c:v>
                </c:pt>
                <c:pt idx="2">
                  <c:v>4.5815000000000001</c:v>
                </c:pt>
                <c:pt idx="3">
                  <c:v>4.1196999999999999</c:v>
                </c:pt>
                <c:pt idx="4">
                  <c:v>4.0918999999999999</c:v>
                </c:pt>
                <c:pt idx="5">
                  <c:v>4.3285999999999998</c:v>
                </c:pt>
                <c:pt idx="6">
                  <c:v>4.4405000000000001</c:v>
                </c:pt>
                <c:pt idx="7">
                  <c:v>8.0558999999999994</c:v>
                </c:pt>
                <c:pt idx="8">
                  <c:v>7.9348000000000001</c:v>
                </c:pt>
                <c:pt idx="9">
                  <c:v>7.9945000000000004</c:v>
                </c:pt>
                <c:pt idx="10">
                  <c:v>8.0657999999999994</c:v>
                </c:pt>
                <c:pt idx="11">
                  <c:v>8.1698000000000004</c:v>
                </c:pt>
                <c:pt idx="12">
                  <c:v>8.2027999999999999</c:v>
                </c:pt>
                <c:pt idx="13">
                  <c:v>8.7658000000000005</c:v>
                </c:pt>
                <c:pt idx="14">
                  <c:v>8.4253</c:v>
                </c:pt>
                <c:pt idx="15">
                  <c:v>8.2786000000000008</c:v>
                </c:pt>
                <c:pt idx="16">
                  <c:v>8.3722999999999992</c:v>
                </c:pt>
                <c:pt idx="17">
                  <c:v>8.7798999999999996</c:v>
                </c:pt>
                <c:pt idx="18">
                  <c:v>8.3902000000000001</c:v>
                </c:pt>
                <c:pt idx="19">
                  <c:v>8.4873999999999992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04-40D5-8367-C218D8BF8666}"/>
            </c:ext>
          </c:extLst>
        </c:ser>
        <c:ser>
          <c:idx val="8"/>
          <c:order val="8"/>
          <c:tx>
            <c:strRef>
              <c:f>'Run 2 (Alex)'!$A$162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(Alex)'!$D$162:$D$181</c:f>
              <c:numCache>
                <c:formatCode>General</c:formatCode>
                <c:ptCount val="20"/>
                <c:pt idx="0">
                  <c:v>215.53</c:v>
                </c:pt>
                <c:pt idx="1">
                  <c:v>231.02</c:v>
                </c:pt>
                <c:pt idx="2">
                  <c:v>249.01</c:v>
                </c:pt>
                <c:pt idx="3">
                  <c:v>275.02999999999997</c:v>
                </c:pt>
                <c:pt idx="4">
                  <c:v>310.63</c:v>
                </c:pt>
                <c:pt idx="5">
                  <c:v>378.24</c:v>
                </c:pt>
                <c:pt idx="6">
                  <c:v>519.99</c:v>
                </c:pt>
                <c:pt idx="7">
                  <c:v>882.87</c:v>
                </c:pt>
                <c:pt idx="8">
                  <c:v>40.020000000000003</c:v>
                </c:pt>
                <c:pt idx="9">
                  <c:v>51.9</c:v>
                </c:pt>
                <c:pt idx="10">
                  <c:v>73.56</c:v>
                </c:pt>
                <c:pt idx="11">
                  <c:v>92.71</c:v>
                </c:pt>
                <c:pt idx="12">
                  <c:v>109.37</c:v>
                </c:pt>
                <c:pt idx="13">
                  <c:v>125.04</c:v>
                </c:pt>
                <c:pt idx="14">
                  <c:v>140.09</c:v>
                </c:pt>
                <c:pt idx="15">
                  <c:v>154.26</c:v>
                </c:pt>
                <c:pt idx="16">
                  <c:v>166.6</c:v>
                </c:pt>
                <c:pt idx="17">
                  <c:v>179.39</c:v>
                </c:pt>
                <c:pt idx="18">
                  <c:v>190.65</c:v>
                </c:pt>
                <c:pt idx="19">
                  <c:v>202.41</c:v>
                </c:pt>
              </c:numCache>
            </c:numRef>
          </c:xVal>
          <c:yVal>
            <c:numRef>
              <c:f>'Run 2 (Alex)'!$F$162:$F$181</c:f>
              <c:numCache>
                <c:formatCode>General</c:formatCode>
                <c:ptCount val="20"/>
                <c:pt idx="0">
                  <c:v>8.4343000000000004</c:v>
                </c:pt>
                <c:pt idx="1">
                  <c:v>9.0212000000000003</c:v>
                </c:pt>
                <c:pt idx="2">
                  <c:v>8.4916</c:v>
                </c:pt>
                <c:pt idx="3">
                  <c:v>8.6187000000000005</c:v>
                </c:pt>
                <c:pt idx="4">
                  <c:v>8.6438000000000006</c:v>
                </c:pt>
                <c:pt idx="5">
                  <c:v>9.0250000000000004</c:v>
                </c:pt>
                <c:pt idx="6">
                  <c:v>9.09</c:v>
                </c:pt>
                <c:pt idx="7">
                  <c:v>10.3881</c:v>
                </c:pt>
                <c:pt idx="8">
                  <c:v>7.8830999999999998</c:v>
                </c:pt>
                <c:pt idx="9">
                  <c:v>8.0029000000000003</c:v>
                </c:pt>
                <c:pt idx="10">
                  <c:v>8.2408999999999999</c:v>
                </c:pt>
                <c:pt idx="11">
                  <c:v>8.1224000000000007</c:v>
                </c:pt>
                <c:pt idx="12">
                  <c:v>8.1821999999999999</c:v>
                </c:pt>
                <c:pt idx="13">
                  <c:v>8.2056000000000004</c:v>
                </c:pt>
                <c:pt idx="14">
                  <c:v>8.4377999999999993</c:v>
                </c:pt>
                <c:pt idx="15">
                  <c:v>8.3350000000000009</c:v>
                </c:pt>
                <c:pt idx="16">
                  <c:v>8.3870000000000005</c:v>
                </c:pt>
                <c:pt idx="17">
                  <c:v>8.4329000000000001</c:v>
                </c:pt>
                <c:pt idx="18">
                  <c:v>8.4583999999999993</c:v>
                </c:pt>
                <c:pt idx="19">
                  <c:v>8.3859999999999992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04-40D5-8367-C218D8BF8666}"/>
            </c:ext>
          </c:extLst>
        </c:ser>
        <c:ser>
          <c:idx val="9"/>
          <c:order val="9"/>
          <c:tx>
            <c:strRef>
              <c:f>'Run 2 (Alex)'!$A$182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(Alex)'!$D$182:$D$201</c:f>
              <c:numCache>
                <c:formatCode>General</c:formatCode>
                <c:ptCount val="20"/>
                <c:pt idx="0">
                  <c:v>217.07</c:v>
                </c:pt>
                <c:pt idx="1">
                  <c:v>235.28</c:v>
                </c:pt>
                <c:pt idx="2">
                  <c:v>256.68</c:v>
                </c:pt>
                <c:pt idx="3">
                  <c:v>281.35000000000002</c:v>
                </c:pt>
                <c:pt idx="4">
                  <c:v>319.08999999999997</c:v>
                </c:pt>
                <c:pt idx="5">
                  <c:v>369.89</c:v>
                </c:pt>
                <c:pt idx="6">
                  <c:v>458.76</c:v>
                </c:pt>
                <c:pt idx="7">
                  <c:v>645.37</c:v>
                </c:pt>
                <c:pt idx="8">
                  <c:v>1117.6600000000001</c:v>
                </c:pt>
                <c:pt idx="9">
                  <c:v>74.61</c:v>
                </c:pt>
                <c:pt idx="10">
                  <c:v>79.97</c:v>
                </c:pt>
                <c:pt idx="11">
                  <c:v>94.41</c:v>
                </c:pt>
                <c:pt idx="12">
                  <c:v>109.45</c:v>
                </c:pt>
                <c:pt idx="13">
                  <c:v>124.39</c:v>
                </c:pt>
                <c:pt idx="14">
                  <c:v>139.08000000000001</c:v>
                </c:pt>
                <c:pt idx="15">
                  <c:v>153.33000000000001</c:v>
                </c:pt>
                <c:pt idx="16">
                  <c:v>167.03</c:v>
                </c:pt>
                <c:pt idx="17">
                  <c:v>178.84</c:v>
                </c:pt>
                <c:pt idx="18">
                  <c:v>193.26</c:v>
                </c:pt>
                <c:pt idx="19">
                  <c:v>205.25</c:v>
                </c:pt>
              </c:numCache>
            </c:numRef>
          </c:xVal>
          <c:yVal>
            <c:numRef>
              <c:f>'Run 2 (Alex)'!$F$182:$F$201</c:f>
              <c:numCache>
                <c:formatCode>General</c:formatCode>
                <c:ptCount val="20"/>
                <c:pt idx="0">
                  <c:v>8.4514999999999993</c:v>
                </c:pt>
                <c:pt idx="1">
                  <c:v>8.9077999999999999</c:v>
                </c:pt>
                <c:pt idx="2">
                  <c:v>8.6202000000000005</c:v>
                </c:pt>
                <c:pt idx="3">
                  <c:v>8.8008000000000006</c:v>
                </c:pt>
                <c:pt idx="4">
                  <c:v>8.7788000000000004</c:v>
                </c:pt>
                <c:pt idx="5">
                  <c:v>8.9602000000000004</c:v>
                </c:pt>
                <c:pt idx="6">
                  <c:v>9.1905000000000001</c:v>
                </c:pt>
                <c:pt idx="7">
                  <c:v>9.5792999999999999</c:v>
                </c:pt>
                <c:pt idx="8">
                  <c:v>11.038600000000001</c:v>
                </c:pt>
                <c:pt idx="9">
                  <c:v>16.5077</c:v>
                </c:pt>
                <c:pt idx="10">
                  <c:v>16.308399999999999</c:v>
                </c:pt>
                <c:pt idx="11">
                  <c:v>16.605499999999999</c:v>
                </c:pt>
                <c:pt idx="12">
                  <c:v>16.383500000000002</c:v>
                </c:pt>
                <c:pt idx="13">
                  <c:v>16.9693</c:v>
                </c:pt>
                <c:pt idx="14">
                  <c:v>16.498999999999999</c:v>
                </c:pt>
                <c:pt idx="15">
                  <c:v>16.840399999999999</c:v>
                </c:pt>
                <c:pt idx="16">
                  <c:v>16.570900000000002</c:v>
                </c:pt>
                <c:pt idx="17">
                  <c:v>16.9328</c:v>
                </c:pt>
                <c:pt idx="18">
                  <c:v>16.7239</c:v>
                </c:pt>
                <c:pt idx="19">
                  <c:v>17.160499999999999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04-40D5-8367-C218D8BF8666}"/>
            </c:ext>
          </c:extLst>
        </c:ser>
        <c:ser>
          <c:idx val="10"/>
          <c:order val="10"/>
          <c:tx>
            <c:strRef>
              <c:f>'Run 2 (Alex)'!$A$202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(Alex)'!$D$202:$D$221</c:f>
              <c:numCache>
                <c:formatCode>General</c:formatCode>
                <c:ptCount val="20"/>
                <c:pt idx="0">
                  <c:v>218.23</c:v>
                </c:pt>
                <c:pt idx="1">
                  <c:v>234.84</c:v>
                </c:pt>
                <c:pt idx="2">
                  <c:v>258.01</c:v>
                </c:pt>
                <c:pt idx="3">
                  <c:v>285.10000000000002</c:v>
                </c:pt>
                <c:pt idx="4">
                  <c:v>317.77</c:v>
                </c:pt>
                <c:pt idx="5">
                  <c:v>372.1</c:v>
                </c:pt>
                <c:pt idx="6">
                  <c:v>449.45</c:v>
                </c:pt>
                <c:pt idx="7">
                  <c:v>594.28</c:v>
                </c:pt>
                <c:pt idx="8">
                  <c:v>916.82</c:v>
                </c:pt>
                <c:pt idx="9">
                  <c:v>1797.16</c:v>
                </c:pt>
                <c:pt idx="10">
                  <c:v>132.6</c:v>
                </c:pt>
                <c:pt idx="11">
                  <c:v>177.88</c:v>
                </c:pt>
                <c:pt idx="12">
                  <c:v>279.13</c:v>
                </c:pt>
                <c:pt idx="13">
                  <c:v>369.5</c:v>
                </c:pt>
                <c:pt idx="14">
                  <c:v>451.59</c:v>
                </c:pt>
                <c:pt idx="15">
                  <c:v>531.27</c:v>
                </c:pt>
                <c:pt idx="16">
                  <c:v>598</c:v>
                </c:pt>
                <c:pt idx="17">
                  <c:v>673.51</c:v>
                </c:pt>
                <c:pt idx="18">
                  <c:v>721.21</c:v>
                </c:pt>
                <c:pt idx="19">
                  <c:v>818.41</c:v>
                </c:pt>
              </c:numCache>
            </c:numRef>
          </c:xVal>
          <c:yVal>
            <c:numRef>
              <c:f>'Run 2 (Alex)'!$F$202:$F$221</c:f>
              <c:numCache>
                <c:formatCode>General</c:formatCode>
                <c:ptCount val="20"/>
                <c:pt idx="0">
                  <c:v>16.8962</c:v>
                </c:pt>
                <c:pt idx="1">
                  <c:v>17.1464</c:v>
                </c:pt>
                <c:pt idx="2">
                  <c:v>16.9072</c:v>
                </c:pt>
                <c:pt idx="3">
                  <c:v>17.3004</c:v>
                </c:pt>
                <c:pt idx="4">
                  <c:v>17.2104</c:v>
                </c:pt>
                <c:pt idx="5">
                  <c:v>17.321400000000001</c:v>
                </c:pt>
                <c:pt idx="6">
                  <c:v>17.543800000000001</c:v>
                </c:pt>
                <c:pt idx="7">
                  <c:v>18.363199999999999</c:v>
                </c:pt>
                <c:pt idx="8">
                  <c:v>18.992899999999999</c:v>
                </c:pt>
                <c:pt idx="9">
                  <c:v>22.735900000000001</c:v>
                </c:pt>
                <c:pt idx="10">
                  <c:v>31.099799999999998</c:v>
                </c:pt>
                <c:pt idx="11">
                  <c:v>31.318000000000001</c:v>
                </c:pt>
                <c:pt idx="12">
                  <c:v>31.686800000000002</c:v>
                </c:pt>
                <c:pt idx="13">
                  <c:v>32.167099999999998</c:v>
                </c:pt>
                <c:pt idx="14">
                  <c:v>32.491100000000003</c:v>
                </c:pt>
                <c:pt idx="15">
                  <c:v>32.671599999999998</c:v>
                </c:pt>
                <c:pt idx="16">
                  <c:v>32.981000000000002</c:v>
                </c:pt>
                <c:pt idx="17">
                  <c:v>32.999400000000001</c:v>
                </c:pt>
                <c:pt idx="18">
                  <c:v>33.469200000000001</c:v>
                </c:pt>
                <c:pt idx="19">
                  <c:v>33.816699999999997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04-40D5-8367-C218D8BF8666}"/>
            </c:ext>
          </c:extLst>
        </c:ser>
        <c:ser>
          <c:idx val="11"/>
          <c:order val="11"/>
          <c:tx>
            <c:strRef>
              <c:f>'Run 2 (Alex)'!$A$222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(Alex)'!$D$222:$D$241</c:f>
              <c:numCache>
                <c:formatCode>General</c:formatCode>
                <c:ptCount val="20"/>
                <c:pt idx="0">
                  <c:v>861</c:v>
                </c:pt>
                <c:pt idx="1">
                  <c:v>897.77</c:v>
                </c:pt>
                <c:pt idx="2">
                  <c:v>1001.88</c:v>
                </c:pt>
                <c:pt idx="3">
                  <c:v>1124.77</c:v>
                </c:pt>
                <c:pt idx="4">
                  <c:v>1186.97</c:v>
                </c:pt>
                <c:pt idx="5">
                  <c:v>1254.98</c:v>
                </c:pt>
                <c:pt idx="6">
                  <c:v>1552.28</c:v>
                </c:pt>
                <c:pt idx="7">
                  <c:v>1869.17</c:v>
                </c:pt>
                <c:pt idx="8">
                  <c:v>2144.3000000000002</c:v>
                </c:pt>
                <c:pt idx="9">
                  <c:v>2919.24</c:v>
                </c:pt>
                <c:pt idx="10">
                  <c:v>4437.1899999999996</c:v>
                </c:pt>
                <c:pt idx="11">
                  <c:v>29.61</c:v>
                </c:pt>
                <c:pt idx="12">
                  <c:v>34.93</c:v>
                </c:pt>
                <c:pt idx="13">
                  <c:v>45.85</c:v>
                </c:pt>
                <c:pt idx="14">
                  <c:v>55.37</c:v>
                </c:pt>
                <c:pt idx="15">
                  <c:v>63.67</c:v>
                </c:pt>
                <c:pt idx="16">
                  <c:v>71.69</c:v>
                </c:pt>
                <c:pt idx="17">
                  <c:v>79.12</c:v>
                </c:pt>
                <c:pt idx="18">
                  <c:v>86.07</c:v>
                </c:pt>
                <c:pt idx="19">
                  <c:v>92.09</c:v>
                </c:pt>
              </c:numCache>
            </c:numRef>
          </c:xVal>
          <c:yVal>
            <c:numRef>
              <c:f>'Run 2 (Alex)'!$F$222:$F$241</c:f>
              <c:numCache>
                <c:formatCode>General</c:formatCode>
                <c:ptCount val="20"/>
                <c:pt idx="0">
                  <c:v>33.879899999999999</c:v>
                </c:pt>
                <c:pt idx="1">
                  <c:v>33.8461</c:v>
                </c:pt>
                <c:pt idx="2">
                  <c:v>34.335599999999999</c:v>
                </c:pt>
                <c:pt idx="3">
                  <c:v>34.863999999999997</c:v>
                </c:pt>
                <c:pt idx="4">
                  <c:v>34.851799999999997</c:v>
                </c:pt>
                <c:pt idx="5">
                  <c:v>35.015099999999997</c:v>
                </c:pt>
                <c:pt idx="6">
                  <c:v>35.655700000000003</c:v>
                </c:pt>
                <c:pt idx="7">
                  <c:v>37.232399999999998</c:v>
                </c:pt>
                <c:pt idx="8">
                  <c:v>37.482500000000002</c:v>
                </c:pt>
                <c:pt idx="9">
                  <c:v>38.075800000000001</c:v>
                </c:pt>
                <c:pt idx="10">
                  <c:v>41.5246</c:v>
                </c:pt>
                <c:pt idx="11">
                  <c:v>7.8150000000000004</c:v>
                </c:pt>
                <c:pt idx="12">
                  <c:v>8.2059999999999995</c:v>
                </c:pt>
                <c:pt idx="13">
                  <c:v>8.2932000000000006</c:v>
                </c:pt>
                <c:pt idx="14">
                  <c:v>7.9256000000000002</c:v>
                </c:pt>
                <c:pt idx="15">
                  <c:v>7.9459999999999997</c:v>
                </c:pt>
                <c:pt idx="16">
                  <c:v>7.9827000000000004</c:v>
                </c:pt>
                <c:pt idx="17">
                  <c:v>8.4812999999999992</c:v>
                </c:pt>
                <c:pt idx="18">
                  <c:v>7.9946999999999999</c:v>
                </c:pt>
                <c:pt idx="19">
                  <c:v>8.0717999999999996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04-40D5-8367-C218D8BF8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4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1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4512008362196835"/>
              <c:y val="0.403429861979667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880791673906752E-2"/>
          <c:y val="1.7430182583321355E-2"/>
          <c:w val="0.13863535454887671"/>
          <c:h val="0.6329019269749391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Output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04713117496235"/>
          <c:y val="0.12039579559597302"/>
          <c:w val="0.70606402662916923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2 (Alex)'!$A$2</c:f>
              <c:strCache>
                <c:ptCount val="1"/>
                <c:pt idx="0">
                  <c:v>Blue Marble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(Alex)'!$E$2:$E$22</c:f>
              <c:numCache>
                <c:formatCode>General</c:formatCode>
                <c:ptCount val="21"/>
                <c:pt idx="0">
                  <c:v>3855.14</c:v>
                </c:pt>
                <c:pt idx="1">
                  <c:v>4231.8999999999996</c:v>
                </c:pt>
                <c:pt idx="2">
                  <c:v>5222.58</c:v>
                </c:pt>
                <c:pt idx="3">
                  <c:v>6228.78</c:v>
                </c:pt>
                <c:pt idx="4">
                  <c:v>7158.45</c:v>
                </c:pt>
                <c:pt idx="5">
                  <c:v>8033.95</c:v>
                </c:pt>
                <c:pt idx="6">
                  <c:v>8840.34</c:v>
                </c:pt>
                <c:pt idx="7">
                  <c:v>9611.73</c:v>
                </c:pt>
                <c:pt idx="8">
                  <c:v>10243.6</c:v>
                </c:pt>
                <c:pt idx="9">
                  <c:v>10955.28</c:v>
                </c:pt>
                <c:pt idx="10">
                  <c:v>11582.32</c:v>
                </c:pt>
                <c:pt idx="11">
                  <c:v>12213.07</c:v>
                </c:pt>
                <c:pt idx="12">
                  <c:v>13012.95</c:v>
                </c:pt>
                <c:pt idx="13">
                  <c:v>13982.93</c:v>
                </c:pt>
                <c:pt idx="14">
                  <c:v>15206.37</c:v>
                </c:pt>
                <c:pt idx="15">
                  <c:v>16582.54</c:v>
                </c:pt>
                <c:pt idx="16">
                  <c:v>18746.990000000002</c:v>
                </c:pt>
                <c:pt idx="17">
                  <c:v>21861.33</c:v>
                </c:pt>
                <c:pt idx="18">
                  <c:v>27287.43</c:v>
                </c:pt>
                <c:pt idx="19">
                  <c:v>39363.54</c:v>
                </c:pt>
                <c:pt idx="20">
                  <c:v>77502.03</c:v>
                </c:pt>
              </c:numCache>
            </c:numRef>
          </c:xVal>
          <c:yVal>
            <c:numRef>
              <c:f>'Run 2 (Alex)'!$G$2:$G$22</c:f>
              <c:numCache>
                <c:formatCode>General</c:formatCode>
                <c:ptCount val="21"/>
                <c:pt idx="0">
                  <c:v>2.415</c:v>
                </c:pt>
                <c:pt idx="1">
                  <c:v>2.3791000000000002</c:v>
                </c:pt>
                <c:pt idx="2">
                  <c:v>2.4121999999999999</c:v>
                </c:pt>
                <c:pt idx="3">
                  <c:v>2.4053</c:v>
                </c:pt>
                <c:pt idx="4">
                  <c:v>2.4304000000000001</c:v>
                </c:pt>
                <c:pt idx="5">
                  <c:v>2.3696000000000002</c:v>
                </c:pt>
                <c:pt idx="6">
                  <c:v>2.3839000000000001</c:v>
                </c:pt>
                <c:pt idx="7">
                  <c:v>2.2242999999999999</c:v>
                </c:pt>
                <c:pt idx="8">
                  <c:v>2.3311000000000002</c:v>
                </c:pt>
                <c:pt idx="9">
                  <c:v>2.5146999999999999</c:v>
                </c:pt>
                <c:pt idx="10">
                  <c:v>2.6135999999999999</c:v>
                </c:pt>
                <c:pt idx="11">
                  <c:v>2.8961000000000001</c:v>
                </c:pt>
                <c:pt idx="12">
                  <c:v>2.4552999999999998</c:v>
                </c:pt>
                <c:pt idx="13">
                  <c:v>2.4592000000000001</c:v>
                </c:pt>
                <c:pt idx="14">
                  <c:v>2.4790000000000001</c:v>
                </c:pt>
                <c:pt idx="15">
                  <c:v>2.3077000000000001</c:v>
                </c:pt>
                <c:pt idx="16">
                  <c:v>2.5253999999999999</c:v>
                </c:pt>
                <c:pt idx="17">
                  <c:v>2.5001000000000002</c:v>
                </c:pt>
                <c:pt idx="18">
                  <c:v>2.5442999999999998</c:v>
                </c:pt>
                <c:pt idx="19">
                  <c:v>2.37</c:v>
                </c:pt>
                <c:pt idx="20">
                  <c:v>2.8149999999999999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F-4DA8-85A1-76639B95A290}"/>
            </c:ext>
          </c:extLst>
        </c:ser>
        <c:ser>
          <c:idx val="2"/>
          <c:order val="1"/>
          <c:tx>
            <c:strRef>
              <c:f>'Run 2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(Alex)'!$E$23:$E$43</c:f>
              <c:numCache>
                <c:formatCode>General</c:formatCode>
                <c:ptCount val="21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  <c:pt idx="20">
                  <c:v>127.54</c:v>
                </c:pt>
              </c:numCache>
            </c:numRef>
          </c:xVal>
          <c:yVal>
            <c:numRef>
              <c:f>'Run 2 (Alex)'!$G$23:$G$43</c:f>
              <c:numCache>
                <c:formatCode>General</c:formatCode>
                <c:ptCount val="21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6.0000000000000001E-3</c:v>
                </c:pt>
                <c:pt idx="9">
                  <c:v>7.6E-3</c:v>
                </c:pt>
                <c:pt idx="10">
                  <c:v>6.0000000000000001E-3</c:v>
                </c:pt>
                <c:pt idx="11">
                  <c:v>7.0000000000000001E-3</c:v>
                </c:pt>
                <c:pt idx="12">
                  <c:v>4.0000000000000001E-3</c:v>
                </c:pt>
                <c:pt idx="13">
                  <c:v>7.0000000000000001E-3</c:v>
                </c:pt>
                <c:pt idx="14">
                  <c:v>1.54E-2</c:v>
                </c:pt>
                <c:pt idx="15">
                  <c:v>6.7000000000000002E-3</c:v>
                </c:pt>
                <c:pt idx="16">
                  <c:v>7.4999999999999997E-3</c:v>
                </c:pt>
                <c:pt idx="17">
                  <c:v>5.7999999999999996E-3</c:v>
                </c:pt>
                <c:pt idx="18">
                  <c:v>5.0000000000000001E-3</c:v>
                </c:pt>
                <c:pt idx="19">
                  <c:v>7.0000000000000001E-3</c:v>
                </c:pt>
                <c:pt idx="2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AF-4DA8-85A1-76639B95A290}"/>
            </c:ext>
          </c:extLst>
        </c:ser>
        <c:ser>
          <c:idx val="3"/>
          <c:order val="2"/>
          <c:tx>
            <c:strRef>
              <c:f>'Run 2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(Alex)'!$E$44:$E$64</c:f>
              <c:numCache>
                <c:formatCode>General</c:formatCode>
                <c:ptCount val="21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  <c:pt idx="20">
                  <c:v>877.97</c:v>
                </c:pt>
              </c:numCache>
            </c:numRef>
          </c:xVal>
          <c:yVal>
            <c:numRef>
              <c:f>'Run 2 (Alex)'!$G$44:$G$64</c:f>
              <c:numCache>
                <c:formatCode>General</c:formatCode>
                <c:ptCount val="21"/>
                <c:pt idx="0">
                  <c:v>3.7699999999999997E-2</c:v>
                </c:pt>
                <c:pt idx="1">
                  <c:v>2.9000000000000001E-2</c:v>
                </c:pt>
                <c:pt idx="2">
                  <c:v>3.7199999999999997E-2</c:v>
                </c:pt>
                <c:pt idx="3">
                  <c:v>2.9499999999999998E-2</c:v>
                </c:pt>
                <c:pt idx="4">
                  <c:v>2.8000000000000001E-2</c:v>
                </c:pt>
                <c:pt idx="5">
                  <c:v>2.8299999999999999E-2</c:v>
                </c:pt>
                <c:pt idx="6">
                  <c:v>2.9499999999999998E-2</c:v>
                </c:pt>
                <c:pt idx="7">
                  <c:v>2.8000000000000001E-2</c:v>
                </c:pt>
                <c:pt idx="8">
                  <c:v>2.8000000000000001E-2</c:v>
                </c:pt>
                <c:pt idx="9">
                  <c:v>2.9000000000000001E-2</c:v>
                </c:pt>
                <c:pt idx="10">
                  <c:v>2.8199999999999999E-2</c:v>
                </c:pt>
                <c:pt idx="11">
                  <c:v>3.3099999999999997E-2</c:v>
                </c:pt>
                <c:pt idx="12">
                  <c:v>2.7E-2</c:v>
                </c:pt>
                <c:pt idx="13">
                  <c:v>2.9100000000000001E-2</c:v>
                </c:pt>
                <c:pt idx="14">
                  <c:v>3.0700000000000002E-2</c:v>
                </c:pt>
                <c:pt idx="15">
                  <c:v>2.8000000000000001E-2</c:v>
                </c:pt>
                <c:pt idx="16">
                  <c:v>3.2000000000000001E-2</c:v>
                </c:pt>
                <c:pt idx="17">
                  <c:v>3.2000000000000001E-2</c:v>
                </c:pt>
                <c:pt idx="18">
                  <c:v>2.9000000000000001E-2</c:v>
                </c:pt>
                <c:pt idx="19">
                  <c:v>3.5799999999999998E-2</c:v>
                </c:pt>
                <c:pt idx="20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AF-4DA8-85A1-76639B95A290}"/>
            </c:ext>
          </c:extLst>
        </c:ser>
        <c:ser>
          <c:idx val="4"/>
          <c:order val="3"/>
          <c:tx>
            <c:strRef>
              <c:f>'Run 2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(Alex)'!$E$65:$E$85</c:f>
              <c:numCache>
                <c:formatCode>General</c:formatCode>
                <c:ptCount val="21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  <c:pt idx="20">
                  <c:v>2812.44</c:v>
                </c:pt>
              </c:numCache>
            </c:numRef>
          </c:xVal>
          <c:yVal>
            <c:numRef>
              <c:f>'Run 2 (Alex)'!$G$65:$G$85</c:f>
              <c:numCache>
                <c:formatCode>General</c:formatCode>
                <c:ptCount val="21"/>
                <c:pt idx="0">
                  <c:v>2.5999999999999999E-2</c:v>
                </c:pt>
                <c:pt idx="1">
                  <c:v>2.5000000000000001E-2</c:v>
                </c:pt>
                <c:pt idx="2">
                  <c:v>2.7E-2</c:v>
                </c:pt>
                <c:pt idx="3">
                  <c:v>2.6499999999999999E-2</c:v>
                </c:pt>
                <c:pt idx="4">
                  <c:v>2.5999999999999999E-2</c:v>
                </c:pt>
                <c:pt idx="5">
                  <c:v>2.9499999999999998E-2</c:v>
                </c:pt>
                <c:pt idx="6">
                  <c:v>2.6499999999999999E-2</c:v>
                </c:pt>
                <c:pt idx="7">
                  <c:v>2.7300000000000001E-2</c:v>
                </c:pt>
                <c:pt idx="8">
                  <c:v>2.7E-2</c:v>
                </c:pt>
                <c:pt idx="9">
                  <c:v>2.87E-2</c:v>
                </c:pt>
                <c:pt idx="10">
                  <c:v>3.1E-2</c:v>
                </c:pt>
                <c:pt idx="11">
                  <c:v>2.5999999999999999E-2</c:v>
                </c:pt>
                <c:pt idx="12">
                  <c:v>3.1600000000000003E-2</c:v>
                </c:pt>
                <c:pt idx="13">
                  <c:v>2.8000000000000001E-2</c:v>
                </c:pt>
                <c:pt idx="14">
                  <c:v>3.1E-2</c:v>
                </c:pt>
                <c:pt idx="15">
                  <c:v>3.3500000000000002E-2</c:v>
                </c:pt>
                <c:pt idx="16">
                  <c:v>3.4000000000000002E-2</c:v>
                </c:pt>
                <c:pt idx="17">
                  <c:v>3.4700000000000002E-2</c:v>
                </c:pt>
                <c:pt idx="18">
                  <c:v>3.3000000000000002E-2</c:v>
                </c:pt>
                <c:pt idx="19">
                  <c:v>3.2000000000000001E-2</c:v>
                </c:pt>
                <c:pt idx="20">
                  <c:v>3.6999999999999998E-2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AF-4DA8-85A1-76639B95A290}"/>
            </c:ext>
          </c:extLst>
        </c:ser>
        <c:ser>
          <c:idx val="5"/>
          <c:order val="4"/>
          <c:tx>
            <c:strRef>
              <c:f>'Run 2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(Alex)'!$E$86:$E$106</c:f>
              <c:numCache>
                <c:formatCode>General</c:formatCode>
                <c:ptCount val="21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  <c:pt idx="20">
                  <c:v>1976.48</c:v>
                </c:pt>
              </c:numCache>
            </c:numRef>
          </c:xVal>
          <c:yVal>
            <c:numRef>
              <c:f>'Run 2 (Alex)'!$G$86:$G$106</c:f>
              <c:numCache>
                <c:formatCode>General</c:formatCode>
                <c:ptCount val="21"/>
                <c:pt idx="0">
                  <c:v>2.3699999999999999E-2</c:v>
                </c:pt>
                <c:pt idx="1">
                  <c:v>2.5000000000000001E-2</c:v>
                </c:pt>
                <c:pt idx="2">
                  <c:v>2.1999999999999999E-2</c:v>
                </c:pt>
                <c:pt idx="3">
                  <c:v>3.15E-2</c:v>
                </c:pt>
                <c:pt idx="4">
                  <c:v>2.5999999999999999E-2</c:v>
                </c:pt>
                <c:pt idx="5">
                  <c:v>2.5000000000000001E-2</c:v>
                </c:pt>
                <c:pt idx="6">
                  <c:v>2.4E-2</c:v>
                </c:pt>
                <c:pt idx="7">
                  <c:v>2.5999999999999999E-2</c:v>
                </c:pt>
                <c:pt idx="8">
                  <c:v>2.3E-2</c:v>
                </c:pt>
                <c:pt idx="9">
                  <c:v>2.8000000000000001E-2</c:v>
                </c:pt>
                <c:pt idx="10">
                  <c:v>3.6299999999999999E-2</c:v>
                </c:pt>
                <c:pt idx="11">
                  <c:v>2.9100000000000001E-2</c:v>
                </c:pt>
                <c:pt idx="12">
                  <c:v>3.1600000000000003E-2</c:v>
                </c:pt>
                <c:pt idx="13">
                  <c:v>3.2000000000000001E-2</c:v>
                </c:pt>
                <c:pt idx="14">
                  <c:v>3.2500000000000001E-2</c:v>
                </c:pt>
                <c:pt idx="15">
                  <c:v>4.1099999999999998E-2</c:v>
                </c:pt>
                <c:pt idx="16">
                  <c:v>3.3000000000000002E-2</c:v>
                </c:pt>
                <c:pt idx="17">
                  <c:v>3.3000000000000002E-2</c:v>
                </c:pt>
                <c:pt idx="18">
                  <c:v>2.9899999999999999E-2</c:v>
                </c:pt>
                <c:pt idx="19">
                  <c:v>3.3000000000000002E-2</c:v>
                </c:pt>
                <c:pt idx="20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AF-4DA8-85A1-76639B95A290}"/>
            </c:ext>
          </c:extLst>
        </c:ser>
        <c:ser>
          <c:idx val="0"/>
          <c:order val="5"/>
          <c:tx>
            <c:strRef>
              <c:f>'Run 2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(Alex)'!$E$107:$E$127</c:f>
              <c:numCache>
                <c:formatCode>General</c:formatCode>
                <c:ptCount val="21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  <c:pt idx="20">
                  <c:v>218.14</c:v>
                </c:pt>
              </c:numCache>
            </c:numRef>
          </c:xVal>
          <c:yVal>
            <c:numRef>
              <c:f>'Run 2 (Alex)'!$G$107:$G$127</c:f>
              <c:numCache>
                <c:formatCode>General</c:formatCode>
                <c:ptCount val="21"/>
                <c:pt idx="0">
                  <c:v>6.0000000000000001E-3</c:v>
                </c:pt>
                <c:pt idx="1">
                  <c:v>0.01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8.0000000000000002E-3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7.0000000000000001E-3</c:v>
                </c:pt>
                <c:pt idx="8">
                  <c:v>6.0000000000000001E-3</c:v>
                </c:pt>
                <c:pt idx="9">
                  <c:v>8.0000000000000002E-3</c:v>
                </c:pt>
                <c:pt idx="10">
                  <c:v>7.0000000000000001E-3</c:v>
                </c:pt>
                <c:pt idx="11">
                  <c:v>0.01</c:v>
                </c:pt>
                <c:pt idx="12">
                  <c:v>7.0000000000000001E-3</c:v>
                </c:pt>
                <c:pt idx="13">
                  <c:v>8.0000000000000002E-3</c:v>
                </c:pt>
                <c:pt idx="14">
                  <c:v>8.0000000000000002E-3</c:v>
                </c:pt>
                <c:pt idx="15">
                  <c:v>7.0000000000000001E-3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8.0000000000000002E-3</c:v>
                </c:pt>
                <c:pt idx="19">
                  <c:v>8.9999999999999993E-3</c:v>
                </c:pt>
                <c:pt idx="20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AF-4DA8-85A1-76639B95A290}"/>
            </c:ext>
          </c:extLst>
        </c:ser>
        <c:ser>
          <c:idx val="6"/>
          <c:order val="6"/>
          <c:tx>
            <c:strRef>
              <c:f>'Run 2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(Alex)'!$E$128:$E$148</c:f>
              <c:numCache>
                <c:formatCode>General</c:formatCode>
                <c:ptCount val="21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  <c:pt idx="20">
                  <c:v>251.94</c:v>
                </c:pt>
              </c:numCache>
            </c:numRef>
          </c:xVal>
          <c:yVal>
            <c:numRef>
              <c:f>'Run 2 (Alex)'!$G$128:$G$148</c:f>
              <c:numCache>
                <c:formatCode>General</c:formatCode>
                <c:ptCount val="21"/>
                <c:pt idx="0">
                  <c:v>5.0000000000000001E-3</c:v>
                </c:pt>
                <c:pt idx="1">
                  <c:v>7.0000000000000001E-3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7.0000000000000001E-3</c:v>
                </c:pt>
                <c:pt idx="5">
                  <c:v>7.6E-3</c:v>
                </c:pt>
                <c:pt idx="6">
                  <c:v>5.0000000000000001E-3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6.0000000000000001E-3</c:v>
                </c:pt>
                <c:pt idx="10">
                  <c:v>5.0000000000000001E-3</c:v>
                </c:pt>
                <c:pt idx="11">
                  <c:v>7.1000000000000004E-3</c:v>
                </c:pt>
                <c:pt idx="12">
                  <c:v>7.4000000000000003E-3</c:v>
                </c:pt>
                <c:pt idx="13">
                  <c:v>5.0000000000000001E-3</c:v>
                </c:pt>
                <c:pt idx="14">
                  <c:v>5.3E-3</c:v>
                </c:pt>
                <c:pt idx="15">
                  <c:v>8.0000000000000002E-3</c:v>
                </c:pt>
                <c:pt idx="16">
                  <c:v>1.6500000000000001E-2</c:v>
                </c:pt>
                <c:pt idx="17">
                  <c:v>1.4999999999999999E-2</c:v>
                </c:pt>
                <c:pt idx="18">
                  <c:v>8.9999999999999993E-3</c:v>
                </c:pt>
                <c:pt idx="19">
                  <c:v>7.0000000000000001E-3</c:v>
                </c:pt>
                <c:pt idx="20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AF-4DA8-85A1-76639B95A290}"/>
            </c:ext>
          </c:extLst>
        </c:ser>
        <c:ser>
          <c:idx val="7"/>
          <c:order val="7"/>
          <c:tx>
            <c:strRef>
              <c:f>'Run 2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(Alex)'!$E$149:$E$169</c:f>
              <c:numCache>
                <c:formatCode>General</c:formatCode>
                <c:ptCount val="21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  <c:pt idx="20">
                  <c:v>917.44</c:v>
                </c:pt>
              </c:numCache>
            </c:numRef>
          </c:xVal>
          <c:yVal>
            <c:numRef>
              <c:f>'Run 2 (Alex)'!$G$149:$G$169</c:f>
              <c:numCache>
                <c:formatCode>General</c:formatCode>
                <c:ptCount val="21"/>
                <c:pt idx="0">
                  <c:v>2.7E-2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2.8000000000000001E-2</c:v>
                </c:pt>
                <c:pt idx="4">
                  <c:v>2.8000000000000001E-2</c:v>
                </c:pt>
                <c:pt idx="5">
                  <c:v>0.03</c:v>
                </c:pt>
                <c:pt idx="6">
                  <c:v>0.03</c:v>
                </c:pt>
                <c:pt idx="7">
                  <c:v>3.2000000000000001E-2</c:v>
                </c:pt>
                <c:pt idx="8">
                  <c:v>2.92E-2</c:v>
                </c:pt>
                <c:pt idx="9">
                  <c:v>3.0800000000000001E-2</c:v>
                </c:pt>
                <c:pt idx="10">
                  <c:v>2.8500000000000001E-2</c:v>
                </c:pt>
                <c:pt idx="11">
                  <c:v>3.2000000000000001E-2</c:v>
                </c:pt>
                <c:pt idx="12">
                  <c:v>2.9000000000000001E-2</c:v>
                </c:pt>
                <c:pt idx="13">
                  <c:v>3.1E-2</c:v>
                </c:pt>
                <c:pt idx="14">
                  <c:v>2.9000000000000001E-2</c:v>
                </c:pt>
                <c:pt idx="15">
                  <c:v>2.9100000000000001E-2</c:v>
                </c:pt>
                <c:pt idx="16">
                  <c:v>3.2000000000000001E-2</c:v>
                </c:pt>
                <c:pt idx="17">
                  <c:v>3.1E-2</c:v>
                </c:pt>
                <c:pt idx="18">
                  <c:v>2.9000000000000001E-2</c:v>
                </c:pt>
                <c:pt idx="19">
                  <c:v>3.2500000000000001E-2</c:v>
                </c:pt>
                <c:pt idx="20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AF-4DA8-85A1-76639B95A290}"/>
            </c:ext>
          </c:extLst>
        </c:ser>
        <c:ser>
          <c:idx val="8"/>
          <c:order val="8"/>
          <c:tx>
            <c:strRef>
              <c:f>'Run 2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(Alex)'!$E$170:$E$190</c:f>
              <c:numCache>
                <c:formatCode>General</c:formatCode>
                <c:ptCount val="21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  <c:pt idx="20">
                  <c:v>1163.71</c:v>
                </c:pt>
              </c:numCache>
            </c:numRef>
          </c:xVal>
          <c:yVal>
            <c:numRef>
              <c:f>'Run 2 (Alex)'!$G$170:$G$190</c:f>
              <c:numCache>
                <c:formatCode>General</c:formatCode>
                <c:ptCount val="21"/>
                <c:pt idx="0">
                  <c:v>3.3000000000000002E-2</c:v>
                </c:pt>
                <c:pt idx="1">
                  <c:v>3.5999999999999997E-2</c:v>
                </c:pt>
                <c:pt idx="2">
                  <c:v>3.44E-2</c:v>
                </c:pt>
                <c:pt idx="3">
                  <c:v>3.6999999999999998E-2</c:v>
                </c:pt>
                <c:pt idx="4">
                  <c:v>3.4000000000000002E-2</c:v>
                </c:pt>
                <c:pt idx="5">
                  <c:v>3.7999999999999999E-2</c:v>
                </c:pt>
                <c:pt idx="6">
                  <c:v>3.5000000000000003E-2</c:v>
                </c:pt>
                <c:pt idx="7">
                  <c:v>3.6999999999999998E-2</c:v>
                </c:pt>
                <c:pt idx="8">
                  <c:v>3.6400000000000002E-2</c:v>
                </c:pt>
                <c:pt idx="9">
                  <c:v>3.6600000000000001E-2</c:v>
                </c:pt>
                <c:pt idx="10">
                  <c:v>3.5999999999999997E-2</c:v>
                </c:pt>
                <c:pt idx="11">
                  <c:v>3.6999999999999998E-2</c:v>
                </c:pt>
                <c:pt idx="12">
                  <c:v>3.5999999999999997E-2</c:v>
                </c:pt>
                <c:pt idx="13">
                  <c:v>3.6999999999999998E-2</c:v>
                </c:pt>
                <c:pt idx="14">
                  <c:v>3.7999999999999999E-2</c:v>
                </c:pt>
                <c:pt idx="15">
                  <c:v>4.2099999999999999E-2</c:v>
                </c:pt>
                <c:pt idx="16">
                  <c:v>3.9E-2</c:v>
                </c:pt>
                <c:pt idx="17">
                  <c:v>3.9E-2</c:v>
                </c:pt>
                <c:pt idx="18">
                  <c:v>3.7999999999999999E-2</c:v>
                </c:pt>
                <c:pt idx="19">
                  <c:v>3.9899999999999998E-2</c:v>
                </c:pt>
                <c:pt idx="20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9AF-4DA8-85A1-76639B95A290}"/>
            </c:ext>
          </c:extLst>
        </c:ser>
        <c:ser>
          <c:idx val="9"/>
          <c:order val="9"/>
          <c:tx>
            <c:strRef>
              <c:f>'Run 2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(Alex)'!$E$191:$E$211</c:f>
              <c:numCache>
                <c:formatCode>General</c:formatCode>
                <c:ptCount val="21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  <c:pt idx="20">
                  <c:v>1930.82</c:v>
                </c:pt>
              </c:numCache>
            </c:numRef>
          </c:xVal>
          <c:yVal>
            <c:numRef>
              <c:f>'Run 2 (Alex)'!$G$191:$G$211</c:f>
              <c:numCache>
                <c:formatCode>General</c:formatCode>
                <c:ptCount val="21"/>
                <c:pt idx="0">
                  <c:v>7.5999999999999998E-2</c:v>
                </c:pt>
                <c:pt idx="1">
                  <c:v>7.6999999999999999E-2</c:v>
                </c:pt>
                <c:pt idx="2">
                  <c:v>7.4999999999999997E-2</c:v>
                </c:pt>
                <c:pt idx="3">
                  <c:v>7.8399999999999997E-2</c:v>
                </c:pt>
                <c:pt idx="4">
                  <c:v>7.8E-2</c:v>
                </c:pt>
                <c:pt idx="5">
                  <c:v>7.8E-2</c:v>
                </c:pt>
                <c:pt idx="6">
                  <c:v>7.8100000000000003E-2</c:v>
                </c:pt>
                <c:pt idx="7">
                  <c:v>8.0500000000000002E-2</c:v>
                </c:pt>
                <c:pt idx="8">
                  <c:v>7.9000000000000001E-2</c:v>
                </c:pt>
                <c:pt idx="9">
                  <c:v>8.1799999999999998E-2</c:v>
                </c:pt>
                <c:pt idx="10">
                  <c:v>7.6999999999999999E-2</c:v>
                </c:pt>
                <c:pt idx="11">
                  <c:v>7.9399999999999998E-2</c:v>
                </c:pt>
                <c:pt idx="12">
                  <c:v>7.6999999999999999E-2</c:v>
                </c:pt>
                <c:pt idx="13">
                  <c:v>7.9299999999999995E-2</c:v>
                </c:pt>
                <c:pt idx="14">
                  <c:v>7.85E-2</c:v>
                </c:pt>
                <c:pt idx="15">
                  <c:v>8.0500000000000002E-2</c:v>
                </c:pt>
                <c:pt idx="16">
                  <c:v>7.85E-2</c:v>
                </c:pt>
                <c:pt idx="17">
                  <c:v>8.1000000000000003E-2</c:v>
                </c:pt>
                <c:pt idx="18">
                  <c:v>8.3000000000000004E-2</c:v>
                </c:pt>
                <c:pt idx="19">
                  <c:v>8.4599999999999995E-2</c:v>
                </c:pt>
                <c:pt idx="20">
                  <c:v>9.1499999999999998E-2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AF-4DA8-85A1-76639B95A290}"/>
            </c:ext>
          </c:extLst>
        </c:ser>
        <c:ser>
          <c:idx val="10"/>
          <c:order val="10"/>
          <c:tx>
            <c:strRef>
              <c:f>'Run 2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(Alex)'!$E$212:$E$232</c:f>
              <c:numCache>
                <c:formatCode>General</c:formatCode>
                <c:ptCount val="21"/>
                <c:pt idx="0">
                  <c:v>121.95</c:v>
                </c:pt>
                <c:pt idx="1">
                  <c:v>164.8</c:v>
                </c:pt>
                <c:pt idx="2">
                  <c:v>259.99</c:v>
                </c:pt>
                <c:pt idx="3">
                  <c:v>344.39</c:v>
                </c:pt>
                <c:pt idx="4">
                  <c:v>420.56</c:v>
                </c:pt>
                <c:pt idx="5">
                  <c:v>494.55</c:v>
                </c:pt>
                <c:pt idx="6">
                  <c:v>557.5</c:v>
                </c:pt>
                <c:pt idx="7">
                  <c:v>629</c:v>
                </c:pt>
                <c:pt idx="8">
                  <c:v>670.05</c:v>
                </c:pt>
                <c:pt idx="9">
                  <c:v>758.41</c:v>
                </c:pt>
                <c:pt idx="10">
                  <c:v>792.88</c:v>
                </c:pt>
                <c:pt idx="11">
                  <c:v>824.45</c:v>
                </c:pt>
                <c:pt idx="12">
                  <c:v>926.17</c:v>
                </c:pt>
                <c:pt idx="13">
                  <c:v>1041.32</c:v>
                </c:pt>
                <c:pt idx="14">
                  <c:v>1096.72</c:v>
                </c:pt>
                <c:pt idx="15">
                  <c:v>1160.02</c:v>
                </c:pt>
                <c:pt idx="16">
                  <c:v>1471.63</c:v>
                </c:pt>
                <c:pt idx="17">
                  <c:v>1783.62</c:v>
                </c:pt>
                <c:pt idx="18">
                  <c:v>2067.46</c:v>
                </c:pt>
                <c:pt idx="19">
                  <c:v>2785.4</c:v>
                </c:pt>
                <c:pt idx="20">
                  <c:v>4572.34</c:v>
                </c:pt>
              </c:numCache>
            </c:numRef>
          </c:xVal>
          <c:yVal>
            <c:numRef>
              <c:f>'Run 2 (Alex)'!$G$212:$G$232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4.3999999999999997E-2</c:v>
                </c:pt>
                <c:pt idx="2">
                  <c:v>4.2999999999999997E-2</c:v>
                </c:pt>
                <c:pt idx="3">
                  <c:v>4.5999999999999999E-2</c:v>
                </c:pt>
                <c:pt idx="4">
                  <c:v>4.4999999999999998E-2</c:v>
                </c:pt>
                <c:pt idx="5">
                  <c:v>0.05</c:v>
                </c:pt>
                <c:pt idx="6">
                  <c:v>4.7E-2</c:v>
                </c:pt>
                <c:pt idx="7">
                  <c:v>4.7E-2</c:v>
                </c:pt>
                <c:pt idx="8">
                  <c:v>4.8000000000000001E-2</c:v>
                </c:pt>
                <c:pt idx="9">
                  <c:v>4.9000000000000002E-2</c:v>
                </c:pt>
                <c:pt idx="10">
                  <c:v>4.7300000000000002E-2</c:v>
                </c:pt>
                <c:pt idx="11">
                  <c:v>4.9099999999999998E-2</c:v>
                </c:pt>
                <c:pt idx="12">
                  <c:v>5.0500000000000003E-2</c:v>
                </c:pt>
                <c:pt idx="13">
                  <c:v>4.9200000000000001E-2</c:v>
                </c:pt>
                <c:pt idx="14">
                  <c:v>4.8000000000000001E-2</c:v>
                </c:pt>
                <c:pt idx="15">
                  <c:v>0.05</c:v>
                </c:pt>
                <c:pt idx="16">
                  <c:v>5.2200000000000003E-2</c:v>
                </c:pt>
                <c:pt idx="17">
                  <c:v>5.45E-2</c:v>
                </c:pt>
                <c:pt idx="18">
                  <c:v>5.6500000000000002E-2</c:v>
                </c:pt>
                <c:pt idx="19">
                  <c:v>6.1199999999999997E-2</c:v>
                </c:pt>
                <c:pt idx="20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9AF-4DA8-85A1-76639B95A290}"/>
            </c:ext>
          </c:extLst>
        </c:ser>
        <c:ser>
          <c:idx val="11"/>
          <c:order val="11"/>
          <c:tx>
            <c:strRef>
              <c:f>'Run 2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(Alex)'!$E$233:$E$253</c:f>
              <c:numCache>
                <c:formatCode>General</c:formatCode>
                <c:ptCount val="21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  <c:pt idx="20">
                  <c:v>912.6</c:v>
                </c:pt>
              </c:numCache>
            </c:numRef>
          </c:xVal>
          <c:yVal>
            <c:numRef>
              <c:f>'Run 2 (Alex)'!$G$233:$G$253</c:f>
              <c:numCache>
                <c:formatCode>General</c:formatCode>
                <c:ptCount val="21"/>
                <c:pt idx="0">
                  <c:v>1.6E-2</c:v>
                </c:pt>
                <c:pt idx="1">
                  <c:v>1.3299999999999999E-2</c:v>
                </c:pt>
                <c:pt idx="2">
                  <c:v>1.6E-2</c:v>
                </c:pt>
                <c:pt idx="3">
                  <c:v>1.7600000000000001E-2</c:v>
                </c:pt>
                <c:pt idx="4">
                  <c:v>1.6E-2</c:v>
                </c:pt>
                <c:pt idx="5">
                  <c:v>1.6E-2</c:v>
                </c:pt>
                <c:pt idx="6">
                  <c:v>1.7999999999999999E-2</c:v>
                </c:pt>
                <c:pt idx="7">
                  <c:v>1.7999999999999999E-2</c:v>
                </c:pt>
                <c:pt idx="8">
                  <c:v>1.7000000000000001E-2</c:v>
                </c:pt>
                <c:pt idx="9">
                  <c:v>1.4500000000000001E-2</c:v>
                </c:pt>
                <c:pt idx="10">
                  <c:v>1.7999999999999999E-2</c:v>
                </c:pt>
                <c:pt idx="11">
                  <c:v>1.7000000000000001E-2</c:v>
                </c:pt>
                <c:pt idx="12">
                  <c:v>1.61E-2</c:v>
                </c:pt>
                <c:pt idx="13">
                  <c:v>1.9E-2</c:v>
                </c:pt>
                <c:pt idx="14">
                  <c:v>1.9E-2</c:v>
                </c:pt>
                <c:pt idx="15">
                  <c:v>1.7000000000000001E-2</c:v>
                </c:pt>
                <c:pt idx="16">
                  <c:v>1.8599999999999998E-2</c:v>
                </c:pt>
                <c:pt idx="17">
                  <c:v>1.7000000000000001E-2</c:v>
                </c:pt>
                <c:pt idx="18">
                  <c:v>1.7000000000000001E-2</c:v>
                </c:pt>
                <c:pt idx="19">
                  <c:v>1.7999999999999999E-2</c:v>
                </c:pt>
                <c:pt idx="20">
                  <c:v>2.01E-2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9AF-4DA8-85A1-76639B95A290}"/>
            </c:ext>
          </c:extLst>
        </c:ser>
        <c:ser>
          <c:idx val="12"/>
          <c:order val="12"/>
          <c:tx>
            <c:strRef>
              <c:f>'Run 2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(Alex)'!$E$254:$E$273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2 (Alex)'!$G$254:$G$273</c:f>
              <c:numCache>
                <c:formatCode>General</c:formatCode>
                <c:ptCount val="20"/>
                <c:pt idx="0">
                  <c:v>1.4999999999999999E-2</c:v>
                </c:pt>
                <c:pt idx="1">
                  <c:v>1.6E-2</c:v>
                </c:pt>
                <c:pt idx="2">
                  <c:v>1.6E-2</c:v>
                </c:pt>
                <c:pt idx="3">
                  <c:v>1.4999999999999999E-2</c:v>
                </c:pt>
                <c:pt idx="4">
                  <c:v>1.7000000000000001E-2</c:v>
                </c:pt>
                <c:pt idx="5">
                  <c:v>1.67E-2</c:v>
                </c:pt>
                <c:pt idx="6">
                  <c:v>1.4999999999999999E-2</c:v>
                </c:pt>
                <c:pt idx="7">
                  <c:v>1.7000000000000001E-2</c:v>
                </c:pt>
                <c:pt idx="8">
                  <c:v>1.6E-2</c:v>
                </c:pt>
                <c:pt idx="9">
                  <c:v>1.4999999999999999E-2</c:v>
                </c:pt>
                <c:pt idx="10">
                  <c:v>1.7999999999999999E-2</c:v>
                </c:pt>
                <c:pt idx="11">
                  <c:v>1.4999999999999999E-2</c:v>
                </c:pt>
                <c:pt idx="12">
                  <c:v>1.6E-2</c:v>
                </c:pt>
                <c:pt idx="13">
                  <c:v>1.7999999999999999E-2</c:v>
                </c:pt>
                <c:pt idx="14">
                  <c:v>1.6E-2</c:v>
                </c:pt>
                <c:pt idx="15">
                  <c:v>1.7999999999999999E-2</c:v>
                </c:pt>
                <c:pt idx="16">
                  <c:v>1.9E-2</c:v>
                </c:pt>
                <c:pt idx="17">
                  <c:v>1.9099999999999999E-2</c:v>
                </c:pt>
                <c:pt idx="18">
                  <c:v>1.7999999999999999E-2</c:v>
                </c:pt>
                <c:pt idx="19">
                  <c:v>2.3099999999999999E-2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9AF-4DA8-85A1-76639B95A290}"/>
            </c:ext>
          </c:extLst>
        </c:ser>
        <c:ser>
          <c:idx val="13"/>
          <c:order val="13"/>
          <c:tx>
            <c:strRef>
              <c:f>'Run 2 (Alex)'!$A$274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(Alex)'!$E$274:$E$295</c:f>
              <c:numCache>
                <c:formatCode>General</c:formatCode>
                <c:ptCount val="22"/>
                <c:pt idx="0">
                  <c:v>866.16</c:v>
                </c:pt>
                <c:pt idx="1">
                  <c:v>14.8</c:v>
                </c:pt>
                <c:pt idx="2">
                  <c:v>17.11</c:v>
                </c:pt>
                <c:pt idx="3">
                  <c:v>22.88</c:v>
                </c:pt>
                <c:pt idx="4">
                  <c:v>28.57</c:v>
                </c:pt>
                <c:pt idx="5">
                  <c:v>33.770000000000003</c:v>
                </c:pt>
                <c:pt idx="6">
                  <c:v>38.82</c:v>
                </c:pt>
                <c:pt idx="7">
                  <c:v>43.69</c:v>
                </c:pt>
                <c:pt idx="8">
                  <c:v>48.32</c:v>
                </c:pt>
                <c:pt idx="9">
                  <c:v>52.42</c:v>
                </c:pt>
                <c:pt idx="10">
                  <c:v>57.04</c:v>
                </c:pt>
                <c:pt idx="11">
                  <c:v>61.11</c:v>
                </c:pt>
                <c:pt idx="12">
                  <c:v>65.37</c:v>
                </c:pt>
                <c:pt idx="13">
                  <c:v>70.92</c:v>
                </c:pt>
                <c:pt idx="14">
                  <c:v>77.900000000000006</c:v>
                </c:pt>
                <c:pt idx="15">
                  <c:v>86.63</c:v>
                </c:pt>
                <c:pt idx="16">
                  <c:v>96.91</c:v>
                </c:pt>
                <c:pt idx="17">
                  <c:v>113.36</c:v>
                </c:pt>
                <c:pt idx="18">
                  <c:v>136.97</c:v>
                </c:pt>
                <c:pt idx="19">
                  <c:v>178.4</c:v>
                </c:pt>
                <c:pt idx="20">
                  <c:v>265.01</c:v>
                </c:pt>
                <c:pt idx="21">
                  <c:v>565.14</c:v>
                </c:pt>
              </c:numCache>
            </c:numRef>
          </c:xVal>
          <c:yVal>
            <c:numRef>
              <c:f>'Run 2 (Alex)'!$G$274:$G$295</c:f>
              <c:numCache>
                <c:formatCode>General</c:formatCode>
                <c:ptCount val="22"/>
                <c:pt idx="0">
                  <c:v>1.9E-2</c:v>
                </c:pt>
                <c:pt idx="1">
                  <c:v>1.6E-2</c:v>
                </c:pt>
                <c:pt idx="2">
                  <c:v>1.9E-2</c:v>
                </c:pt>
                <c:pt idx="3">
                  <c:v>1.9E-2</c:v>
                </c:pt>
                <c:pt idx="4">
                  <c:v>2.7E-2</c:v>
                </c:pt>
                <c:pt idx="5">
                  <c:v>1.9099999999999999E-2</c:v>
                </c:pt>
                <c:pt idx="6">
                  <c:v>1.7999999999999999E-2</c:v>
                </c:pt>
                <c:pt idx="7">
                  <c:v>1.9E-2</c:v>
                </c:pt>
                <c:pt idx="8">
                  <c:v>1.7999999999999999E-2</c:v>
                </c:pt>
                <c:pt idx="9">
                  <c:v>1.7999999999999999E-2</c:v>
                </c:pt>
                <c:pt idx="10">
                  <c:v>2.1000000000000001E-2</c:v>
                </c:pt>
                <c:pt idx="11">
                  <c:v>2.1000000000000001E-2</c:v>
                </c:pt>
                <c:pt idx="12">
                  <c:v>2.01E-2</c:v>
                </c:pt>
                <c:pt idx="13">
                  <c:v>1.8499999999999999E-2</c:v>
                </c:pt>
                <c:pt idx="14">
                  <c:v>2.1000000000000001E-2</c:v>
                </c:pt>
                <c:pt idx="15">
                  <c:v>1.7999999999999999E-2</c:v>
                </c:pt>
                <c:pt idx="16">
                  <c:v>1.7999999999999999E-2</c:v>
                </c:pt>
                <c:pt idx="17">
                  <c:v>2.1000000000000001E-2</c:v>
                </c:pt>
                <c:pt idx="18">
                  <c:v>1.9E-2</c:v>
                </c:pt>
                <c:pt idx="19">
                  <c:v>2.1000000000000001E-2</c:v>
                </c:pt>
                <c:pt idx="20">
                  <c:v>2.3300000000000001E-2</c:v>
                </c:pt>
                <c:pt idx="21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9AF-4DA8-85A1-76639B95A290}"/>
            </c:ext>
          </c:extLst>
        </c:ser>
        <c:ser>
          <c:idx val="14"/>
          <c:order val="14"/>
          <c:tx>
            <c:strRef>
              <c:f>'Run 2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(Alex)'!$E$296:$E$316</c:f>
              <c:numCache>
                <c:formatCode>General</c:formatCode>
                <c:ptCount val="21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  <c:pt idx="20">
                  <c:v>771.9</c:v>
                </c:pt>
              </c:numCache>
            </c:numRef>
          </c:xVal>
          <c:yVal>
            <c:numRef>
              <c:f>'Run 2 (Alex)'!$G$296:$G$316</c:f>
              <c:numCache>
                <c:formatCode>General</c:formatCode>
                <c:ptCount val="21"/>
                <c:pt idx="0">
                  <c:v>1.7000000000000001E-2</c:v>
                </c:pt>
                <c:pt idx="1">
                  <c:v>2.1000000000000001E-2</c:v>
                </c:pt>
                <c:pt idx="2">
                  <c:v>1.9199999999999998E-2</c:v>
                </c:pt>
                <c:pt idx="3">
                  <c:v>1.7000000000000001E-2</c:v>
                </c:pt>
                <c:pt idx="4">
                  <c:v>1.7000000000000001E-2</c:v>
                </c:pt>
                <c:pt idx="5">
                  <c:v>2.1999999999999999E-2</c:v>
                </c:pt>
                <c:pt idx="6">
                  <c:v>1.9E-2</c:v>
                </c:pt>
                <c:pt idx="7">
                  <c:v>1.9099999999999999E-2</c:v>
                </c:pt>
                <c:pt idx="8">
                  <c:v>2.1000000000000001E-2</c:v>
                </c:pt>
                <c:pt idx="9">
                  <c:v>0.02</c:v>
                </c:pt>
                <c:pt idx="10">
                  <c:v>2.1000000000000001E-2</c:v>
                </c:pt>
                <c:pt idx="11">
                  <c:v>1.9E-2</c:v>
                </c:pt>
                <c:pt idx="12">
                  <c:v>2.3E-2</c:v>
                </c:pt>
                <c:pt idx="13">
                  <c:v>1.9E-2</c:v>
                </c:pt>
                <c:pt idx="14">
                  <c:v>0.02</c:v>
                </c:pt>
                <c:pt idx="15">
                  <c:v>3.4000000000000002E-2</c:v>
                </c:pt>
                <c:pt idx="16">
                  <c:v>2.1000000000000001E-2</c:v>
                </c:pt>
                <c:pt idx="17">
                  <c:v>2.1000000000000001E-2</c:v>
                </c:pt>
                <c:pt idx="18">
                  <c:v>0.02</c:v>
                </c:pt>
                <c:pt idx="19">
                  <c:v>2.1000000000000001E-2</c:v>
                </c:pt>
                <c:pt idx="20">
                  <c:v>2.5000000000000001E-2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9AF-4DA8-85A1-76639B95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00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5374747083852661"/>
              <c:y val="0.397485983798461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402102490968592"/>
          <c:h val="0.7811193687182189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143112900395609"/>
          <c:y val="0.12039579559597302"/>
          <c:w val="0.7526801306850941"/>
          <c:h val="0.76291854446919849"/>
        </c:manualLayout>
      </c:layout>
      <c:scatterChart>
        <c:scatterStyle val="lineMarker"/>
        <c:varyColors val="0"/>
        <c:ser>
          <c:idx val="2"/>
          <c:order val="1"/>
          <c:tx>
            <c:strRef>
              <c:f>'Run 2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(Alex)'!$I$23:$I$43</c:f>
              <c:numCache>
                <c:formatCode>General</c:formatCode>
                <c:ptCount val="21"/>
                <c:pt idx="0">
                  <c:v>0.29864603481624757</c:v>
                </c:pt>
                <c:pt idx="1">
                  <c:v>0.33655705996131524</c:v>
                </c:pt>
                <c:pt idx="2">
                  <c:v>0.40735009671179878</c:v>
                </c:pt>
                <c:pt idx="3">
                  <c:v>0.46847195357833649</c:v>
                </c:pt>
                <c:pt idx="4">
                  <c:v>0.51914893617021274</c:v>
                </c:pt>
                <c:pt idx="5">
                  <c:v>0.56885880077369433</c:v>
                </c:pt>
                <c:pt idx="6">
                  <c:v>0.61760154738878137</c:v>
                </c:pt>
                <c:pt idx="7">
                  <c:v>0.65261121856866533</c:v>
                </c:pt>
                <c:pt idx="8">
                  <c:v>0.68239845261121856</c:v>
                </c:pt>
                <c:pt idx="9">
                  <c:v>0.7135396518375241</c:v>
                </c:pt>
                <c:pt idx="10">
                  <c:v>0.74216634429400374</c:v>
                </c:pt>
                <c:pt idx="11">
                  <c:v>0.77678916827852984</c:v>
                </c:pt>
                <c:pt idx="12">
                  <c:v>0.81605415860734998</c:v>
                </c:pt>
                <c:pt idx="13">
                  <c:v>0.86170212765957432</c:v>
                </c:pt>
                <c:pt idx="14">
                  <c:v>0.92301740812379107</c:v>
                </c:pt>
                <c:pt idx="15">
                  <c:v>0.98355899419729209</c:v>
                </c:pt>
                <c:pt idx="16">
                  <c:v>1.0528046421663442</c:v>
                </c:pt>
                <c:pt idx="17">
                  <c:v>1.1381044487427465</c:v>
                </c:pt>
                <c:pt idx="18">
                  <c:v>1.3085106382978724</c:v>
                </c:pt>
                <c:pt idx="19">
                  <c:v>1.6156673114119922</c:v>
                </c:pt>
                <c:pt idx="20">
                  <c:v>2.4669245647969054</c:v>
                </c:pt>
              </c:numCache>
            </c:numRef>
          </c:xVal>
          <c:yVal>
            <c:numRef>
              <c:f>'Run 2 (Alex)'!$G$23:$G$43</c:f>
              <c:numCache>
                <c:formatCode>General</c:formatCode>
                <c:ptCount val="21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6.0000000000000001E-3</c:v>
                </c:pt>
                <c:pt idx="9">
                  <c:v>7.6E-3</c:v>
                </c:pt>
                <c:pt idx="10">
                  <c:v>6.0000000000000001E-3</c:v>
                </c:pt>
                <c:pt idx="11">
                  <c:v>7.0000000000000001E-3</c:v>
                </c:pt>
                <c:pt idx="12">
                  <c:v>4.0000000000000001E-3</c:v>
                </c:pt>
                <c:pt idx="13">
                  <c:v>7.0000000000000001E-3</c:v>
                </c:pt>
                <c:pt idx="14">
                  <c:v>1.54E-2</c:v>
                </c:pt>
                <c:pt idx="15">
                  <c:v>6.7000000000000002E-3</c:v>
                </c:pt>
                <c:pt idx="16">
                  <c:v>7.4999999999999997E-3</c:v>
                </c:pt>
                <c:pt idx="17">
                  <c:v>5.7999999999999996E-3</c:v>
                </c:pt>
                <c:pt idx="18">
                  <c:v>5.0000000000000001E-3</c:v>
                </c:pt>
                <c:pt idx="19">
                  <c:v>7.0000000000000001E-3</c:v>
                </c:pt>
                <c:pt idx="2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C-4138-B9EE-03484E01115A}"/>
            </c:ext>
          </c:extLst>
        </c:ser>
        <c:ser>
          <c:idx val="3"/>
          <c:order val="2"/>
          <c:tx>
            <c:strRef>
              <c:f>'Run 2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(Alex)'!$I$44:$I$64</c:f>
              <c:numCache>
                <c:formatCode>General</c:formatCode>
                <c:ptCount val="21"/>
                <c:pt idx="0">
                  <c:v>1.5421394307475819E-2</c:v>
                </c:pt>
                <c:pt idx="1">
                  <c:v>1.9920172836793728E-2</c:v>
                </c:pt>
                <c:pt idx="2">
                  <c:v>2.8797413725459423E-2</c:v>
                </c:pt>
                <c:pt idx="3">
                  <c:v>3.6293634228381014E-2</c:v>
                </c:pt>
                <c:pt idx="4">
                  <c:v>4.2979028368460417E-2</c:v>
                </c:pt>
                <c:pt idx="5">
                  <c:v>4.9026223693915662E-2</c:v>
                </c:pt>
                <c:pt idx="6">
                  <c:v>5.4560767512541651E-2</c:v>
                </c:pt>
                <c:pt idx="7">
                  <c:v>5.9995919712496661E-2</c:v>
                </c:pt>
                <c:pt idx="8">
                  <c:v>6.4154674283203331E-2</c:v>
                </c:pt>
                <c:pt idx="9">
                  <c:v>6.8836542636388845E-2</c:v>
                </c:pt>
                <c:pt idx="10">
                  <c:v>7.2801745107578336E-2</c:v>
                </c:pt>
                <c:pt idx="11">
                  <c:v>7.7002348780883315E-2</c:v>
                </c:pt>
                <c:pt idx="12">
                  <c:v>8.2223024330022015E-2</c:v>
                </c:pt>
                <c:pt idx="13">
                  <c:v>8.8610243614088494E-2</c:v>
                </c:pt>
                <c:pt idx="14">
                  <c:v>9.6462181489095689E-2</c:v>
                </c:pt>
                <c:pt idx="15">
                  <c:v>0.1055538990285777</c:v>
                </c:pt>
                <c:pt idx="16">
                  <c:v>0.11980874960112574</c:v>
                </c:pt>
                <c:pt idx="17">
                  <c:v>0.13932089368758596</c:v>
                </c:pt>
                <c:pt idx="18">
                  <c:v>0.17308788834659425</c:v>
                </c:pt>
                <c:pt idx="19">
                  <c:v>0.24497941547265945</c:v>
                </c:pt>
                <c:pt idx="20">
                  <c:v>0.4592782076029357</c:v>
                </c:pt>
              </c:numCache>
            </c:numRef>
          </c:xVal>
          <c:yVal>
            <c:numRef>
              <c:f>'Run 2 (Alex)'!$G$44:$G$64</c:f>
              <c:numCache>
                <c:formatCode>General</c:formatCode>
                <c:ptCount val="21"/>
                <c:pt idx="0">
                  <c:v>3.7699999999999997E-2</c:v>
                </c:pt>
                <c:pt idx="1">
                  <c:v>2.9000000000000001E-2</c:v>
                </c:pt>
                <c:pt idx="2">
                  <c:v>3.7199999999999997E-2</c:v>
                </c:pt>
                <c:pt idx="3">
                  <c:v>2.9499999999999998E-2</c:v>
                </c:pt>
                <c:pt idx="4">
                  <c:v>2.8000000000000001E-2</c:v>
                </c:pt>
                <c:pt idx="5">
                  <c:v>2.8299999999999999E-2</c:v>
                </c:pt>
                <c:pt idx="6">
                  <c:v>2.9499999999999998E-2</c:v>
                </c:pt>
                <c:pt idx="7">
                  <c:v>2.8000000000000001E-2</c:v>
                </c:pt>
                <c:pt idx="8">
                  <c:v>2.8000000000000001E-2</c:v>
                </c:pt>
                <c:pt idx="9">
                  <c:v>2.9000000000000001E-2</c:v>
                </c:pt>
                <c:pt idx="10">
                  <c:v>2.8199999999999999E-2</c:v>
                </c:pt>
                <c:pt idx="11">
                  <c:v>3.3099999999999997E-2</c:v>
                </c:pt>
                <c:pt idx="12">
                  <c:v>2.7E-2</c:v>
                </c:pt>
                <c:pt idx="13">
                  <c:v>2.9100000000000001E-2</c:v>
                </c:pt>
                <c:pt idx="14">
                  <c:v>3.0700000000000002E-2</c:v>
                </c:pt>
                <c:pt idx="15">
                  <c:v>2.8000000000000001E-2</c:v>
                </c:pt>
                <c:pt idx="16">
                  <c:v>3.2000000000000001E-2</c:v>
                </c:pt>
                <c:pt idx="17">
                  <c:v>3.2000000000000001E-2</c:v>
                </c:pt>
                <c:pt idx="18">
                  <c:v>2.9000000000000001E-2</c:v>
                </c:pt>
                <c:pt idx="19">
                  <c:v>3.5799999999999998E-2</c:v>
                </c:pt>
                <c:pt idx="20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C-4138-B9EE-03484E01115A}"/>
            </c:ext>
          </c:extLst>
        </c:ser>
        <c:ser>
          <c:idx val="4"/>
          <c:order val="3"/>
          <c:tx>
            <c:strRef>
              <c:f>'Run 2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(Alex)'!$I$65:$I$85</c:f>
              <c:numCache>
                <c:formatCode>General</c:formatCode>
                <c:ptCount val="21"/>
                <c:pt idx="0">
                  <c:v>6.5707918142836825E-3</c:v>
                </c:pt>
                <c:pt idx="1">
                  <c:v>8.3706468504230365E-3</c:v>
                </c:pt>
                <c:pt idx="2">
                  <c:v>1.2084837728538238E-2</c:v>
                </c:pt>
                <c:pt idx="3">
                  <c:v>1.4979373132912893E-2</c:v>
                </c:pt>
                <c:pt idx="4">
                  <c:v>1.7489144645482072E-2</c:v>
                </c:pt>
                <c:pt idx="5">
                  <c:v>1.9935917844780288E-2</c:v>
                </c:pt>
                <c:pt idx="6">
                  <c:v>2.2110375754455607E-2</c:v>
                </c:pt>
                <c:pt idx="7">
                  <c:v>2.5695860401157001E-2</c:v>
                </c:pt>
                <c:pt idx="8">
                  <c:v>2.6872506316766357E-2</c:v>
                </c:pt>
                <c:pt idx="9">
                  <c:v>2.7908930180256464E-2</c:v>
                </c:pt>
                <c:pt idx="10">
                  <c:v>2.9015803770415179E-2</c:v>
                </c:pt>
                <c:pt idx="11">
                  <c:v>3.0596858213151071E-2</c:v>
                </c:pt>
                <c:pt idx="12">
                  <c:v>4.1652046090378869E-2</c:v>
                </c:pt>
                <c:pt idx="13">
                  <c:v>4.8839950414230851E-2</c:v>
                </c:pt>
                <c:pt idx="14">
                  <c:v>5.1468267139944318E-2</c:v>
                </c:pt>
                <c:pt idx="15">
                  <c:v>5.4450187301436768E-2</c:v>
                </c:pt>
                <c:pt idx="16">
                  <c:v>5.7974028437303135E-2</c:v>
                </c:pt>
                <c:pt idx="17">
                  <c:v>6.3341755688476734E-2</c:v>
                </c:pt>
                <c:pt idx="18">
                  <c:v>8.1372821308332718E-2</c:v>
                </c:pt>
                <c:pt idx="19">
                  <c:v>0.10727393427853384</c:v>
                </c:pt>
                <c:pt idx="20">
                  <c:v>0.19051502814602062</c:v>
                </c:pt>
              </c:numCache>
            </c:numRef>
          </c:xVal>
          <c:yVal>
            <c:numRef>
              <c:f>'Run 2 (Alex)'!$G$65:$G$85</c:f>
              <c:numCache>
                <c:formatCode>General</c:formatCode>
                <c:ptCount val="21"/>
                <c:pt idx="0">
                  <c:v>2.5999999999999999E-2</c:v>
                </c:pt>
                <c:pt idx="1">
                  <c:v>2.5000000000000001E-2</c:v>
                </c:pt>
                <c:pt idx="2">
                  <c:v>2.7E-2</c:v>
                </c:pt>
                <c:pt idx="3">
                  <c:v>2.6499999999999999E-2</c:v>
                </c:pt>
                <c:pt idx="4">
                  <c:v>2.5999999999999999E-2</c:v>
                </c:pt>
                <c:pt idx="5">
                  <c:v>2.9499999999999998E-2</c:v>
                </c:pt>
                <c:pt idx="6">
                  <c:v>2.6499999999999999E-2</c:v>
                </c:pt>
                <c:pt idx="7">
                  <c:v>2.7300000000000001E-2</c:v>
                </c:pt>
                <c:pt idx="8">
                  <c:v>2.7E-2</c:v>
                </c:pt>
                <c:pt idx="9">
                  <c:v>2.87E-2</c:v>
                </c:pt>
                <c:pt idx="10">
                  <c:v>3.1E-2</c:v>
                </c:pt>
                <c:pt idx="11">
                  <c:v>2.5999999999999999E-2</c:v>
                </c:pt>
                <c:pt idx="12">
                  <c:v>3.1600000000000003E-2</c:v>
                </c:pt>
                <c:pt idx="13">
                  <c:v>2.8000000000000001E-2</c:v>
                </c:pt>
                <c:pt idx="14">
                  <c:v>3.1E-2</c:v>
                </c:pt>
                <c:pt idx="15">
                  <c:v>3.3500000000000002E-2</c:v>
                </c:pt>
                <c:pt idx="16">
                  <c:v>3.4000000000000002E-2</c:v>
                </c:pt>
                <c:pt idx="17">
                  <c:v>3.4700000000000002E-2</c:v>
                </c:pt>
                <c:pt idx="18">
                  <c:v>3.3000000000000002E-2</c:v>
                </c:pt>
                <c:pt idx="19">
                  <c:v>3.2000000000000001E-2</c:v>
                </c:pt>
                <c:pt idx="20">
                  <c:v>3.6999999999999998E-2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EC-4138-B9EE-03484E01115A}"/>
            </c:ext>
          </c:extLst>
        </c:ser>
        <c:ser>
          <c:idx val="5"/>
          <c:order val="4"/>
          <c:tx>
            <c:strRef>
              <c:f>'Run 2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(Alex)'!$I$86:$I$105</c:f>
              <c:numCache>
                <c:formatCode>General</c:formatCode>
                <c:ptCount val="20"/>
                <c:pt idx="0">
                  <c:v>5.4618860204710649E-3</c:v>
                </c:pt>
                <c:pt idx="1">
                  <c:v>5.6698481943870541E-3</c:v>
                </c:pt>
                <c:pt idx="2">
                  <c:v>6.1609640774134113E-3</c:v>
                </c:pt>
                <c:pt idx="3">
                  <c:v>6.6344675287726166E-3</c:v>
                </c:pt>
                <c:pt idx="4">
                  <c:v>7.259708852956518E-3</c:v>
                </c:pt>
                <c:pt idx="5">
                  <c:v>7.9045948124614723E-3</c:v>
                </c:pt>
                <c:pt idx="6">
                  <c:v>9.2512684337806433E-3</c:v>
                </c:pt>
                <c:pt idx="7">
                  <c:v>1.1479241039675391E-2</c:v>
                </c:pt>
                <c:pt idx="8">
                  <c:v>1.1820651253530955E-2</c:v>
                </c:pt>
                <c:pt idx="9">
                  <c:v>1.2042838853024259E-2</c:v>
                </c:pt>
                <c:pt idx="10">
                  <c:v>1.229686430976203E-2</c:v>
                </c:pt>
                <c:pt idx="11">
                  <c:v>1.3372577443894244E-2</c:v>
                </c:pt>
                <c:pt idx="12">
                  <c:v>2.7873027915704195E-2</c:v>
                </c:pt>
                <c:pt idx="13">
                  <c:v>3.3613325836759855E-2</c:v>
                </c:pt>
                <c:pt idx="14">
                  <c:v>3.4351693164344312E-2</c:v>
                </c:pt>
                <c:pt idx="15">
                  <c:v>3.5666528928419011E-2</c:v>
                </c:pt>
                <c:pt idx="16">
                  <c:v>3.7087716683714599E-2</c:v>
                </c:pt>
                <c:pt idx="17">
                  <c:v>4.0009348136807954E-2</c:v>
                </c:pt>
                <c:pt idx="18">
                  <c:v>5.406813301450316E-2</c:v>
                </c:pt>
                <c:pt idx="19">
                  <c:v>7.138183074453168E-2</c:v>
                </c:pt>
              </c:numCache>
            </c:numRef>
          </c:xVal>
          <c:yVal>
            <c:numRef>
              <c:f>'Run 2 (Alex)'!$G$86:$G$106</c:f>
              <c:numCache>
                <c:formatCode>General</c:formatCode>
                <c:ptCount val="21"/>
                <c:pt idx="0">
                  <c:v>2.3699999999999999E-2</c:v>
                </c:pt>
                <c:pt idx="1">
                  <c:v>2.5000000000000001E-2</c:v>
                </c:pt>
                <c:pt idx="2">
                  <c:v>2.1999999999999999E-2</c:v>
                </c:pt>
                <c:pt idx="3">
                  <c:v>3.15E-2</c:v>
                </c:pt>
                <c:pt idx="4">
                  <c:v>2.5999999999999999E-2</c:v>
                </c:pt>
                <c:pt idx="5">
                  <c:v>2.5000000000000001E-2</c:v>
                </c:pt>
                <c:pt idx="6">
                  <c:v>2.4E-2</c:v>
                </c:pt>
                <c:pt idx="7">
                  <c:v>2.5999999999999999E-2</c:v>
                </c:pt>
                <c:pt idx="8">
                  <c:v>2.3E-2</c:v>
                </c:pt>
                <c:pt idx="9">
                  <c:v>2.8000000000000001E-2</c:v>
                </c:pt>
                <c:pt idx="10">
                  <c:v>3.6299999999999999E-2</c:v>
                </c:pt>
                <c:pt idx="11">
                  <c:v>2.9100000000000001E-2</c:v>
                </c:pt>
                <c:pt idx="12">
                  <c:v>3.1600000000000003E-2</c:v>
                </c:pt>
                <c:pt idx="13">
                  <c:v>3.2000000000000001E-2</c:v>
                </c:pt>
                <c:pt idx="14">
                  <c:v>3.2500000000000001E-2</c:v>
                </c:pt>
                <c:pt idx="15">
                  <c:v>4.1099999999999998E-2</c:v>
                </c:pt>
                <c:pt idx="16">
                  <c:v>3.3000000000000002E-2</c:v>
                </c:pt>
                <c:pt idx="17">
                  <c:v>3.3000000000000002E-2</c:v>
                </c:pt>
                <c:pt idx="18">
                  <c:v>2.9899999999999999E-2</c:v>
                </c:pt>
                <c:pt idx="19">
                  <c:v>3.3000000000000002E-2</c:v>
                </c:pt>
                <c:pt idx="20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EC-4138-B9EE-03484E01115A}"/>
            </c:ext>
          </c:extLst>
        </c:ser>
        <c:ser>
          <c:idx val="0"/>
          <c:order val="5"/>
          <c:tx>
            <c:strRef>
              <c:f>'Run 2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(Alex)'!$I$107:$I$127</c:f>
              <c:numCache>
                <c:formatCode>General</c:formatCode>
                <c:ptCount val="21"/>
                <c:pt idx="0">
                  <c:v>1.8836175502925885E-2</c:v>
                </c:pt>
                <c:pt idx="1">
                  <c:v>2.2075997689429135E-2</c:v>
                </c:pt>
                <c:pt idx="2">
                  <c:v>3.1820579149609458E-2</c:v>
                </c:pt>
                <c:pt idx="3">
                  <c:v>4.1213552000401839E-2</c:v>
                </c:pt>
                <c:pt idx="4">
                  <c:v>4.997865233443001E-2</c:v>
                </c:pt>
                <c:pt idx="5">
                  <c:v>5.801542054901173E-2</c:v>
                </c:pt>
                <c:pt idx="6">
                  <c:v>6.5148052339452991E-2</c:v>
                </c:pt>
                <c:pt idx="7">
                  <c:v>7.2305799030564832E-2</c:v>
                </c:pt>
                <c:pt idx="8">
                  <c:v>7.783107717808975E-2</c:v>
                </c:pt>
                <c:pt idx="9">
                  <c:v>8.4310721551096257E-2</c:v>
                </c:pt>
                <c:pt idx="10">
                  <c:v>8.9760654996609485E-2</c:v>
                </c:pt>
                <c:pt idx="11">
                  <c:v>9.5587311952181231E-2</c:v>
                </c:pt>
                <c:pt idx="12">
                  <c:v>0.10302132255066931</c:v>
                </c:pt>
                <c:pt idx="13">
                  <c:v>0.11178642288469748</c:v>
                </c:pt>
                <c:pt idx="14">
                  <c:v>0.1223849109676771</c:v>
                </c:pt>
                <c:pt idx="15">
                  <c:v>0.13426425898485572</c:v>
                </c:pt>
                <c:pt idx="16">
                  <c:v>0.15282417058040534</c:v>
                </c:pt>
                <c:pt idx="17">
                  <c:v>0.17813999045633774</c:v>
                </c:pt>
                <c:pt idx="18">
                  <c:v>0.21940377225808072</c:v>
                </c:pt>
                <c:pt idx="19">
                  <c:v>0.30343822990180069</c:v>
                </c:pt>
                <c:pt idx="20">
                  <c:v>0.54785644322776694</c:v>
                </c:pt>
              </c:numCache>
            </c:numRef>
          </c:xVal>
          <c:yVal>
            <c:numRef>
              <c:f>'Run 2 (Alex)'!$G$107:$G$127</c:f>
              <c:numCache>
                <c:formatCode>General</c:formatCode>
                <c:ptCount val="21"/>
                <c:pt idx="0">
                  <c:v>6.0000000000000001E-3</c:v>
                </c:pt>
                <c:pt idx="1">
                  <c:v>0.01</c:v>
                </c:pt>
                <c:pt idx="2">
                  <c:v>7.0000000000000001E-3</c:v>
                </c:pt>
                <c:pt idx="3">
                  <c:v>8.9999999999999993E-3</c:v>
                </c:pt>
                <c:pt idx="4">
                  <c:v>8.0000000000000002E-3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7.0000000000000001E-3</c:v>
                </c:pt>
                <c:pt idx="8">
                  <c:v>6.0000000000000001E-3</c:v>
                </c:pt>
                <c:pt idx="9">
                  <c:v>8.0000000000000002E-3</c:v>
                </c:pt>
                <c:pt idx="10">
                  <c:v>7.0000000000000001E-3</c:v>
                </c:pt>
                <c:pt idx="11">
                  <c:v>0.01</c:v>
                </c:pt>
                <c:pt idx="12">
                  <c:v>7.0000000000000001E-3</c:v>
                </c:pt>
                <c:pt idx="13">
                  <c:v>8.0000000000000002E-3</c:v>
                </c:pt>
                <c:pt idx="14">
                  <c:v>8.0000000000000002E-3</c:v>
                </c:pt>
                <c:pt idx="15">
                  <c:v>7.0000000000000001E-3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8.0000000000000002E-3</c:v>
                </c:pt>
                <c:pt idx="19">
                  <c:v>8.9999999999999993E-3</c:v>
                </c:pt>
                <c:pt idx="20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EC-4138-B9EE-03484E01115A}"/>
            </c:ext>
          </c:extLst>
        </c:ser>
        <c:ser>
          <c:idx val="6"/>
          <c:order val="6"/>
          <c:tx>
            <c:strRef>
              <c:f>'Run 2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(Alex)'!$I$128:$I$148</c:f>
              <c:numCache>
                <c:formatCode>General</c:formatCode>
                <c:ptCount val="21"/>
                <c:pt idx="0">
                  <c:v>0.13028021748222501</c:v>
                </c:pt>
                <c:pt idx="1">
                  <c:v>0.15181932245922208</c:v>
                </c:pt>
                <c:pt idx="2">
                  <c:v>0.20242576327896278</c:v>
                </c:pt>
                <c:pt idx="3">
                  <c:v>0.2425763278962777</c:v>
                </c:pt>
                <c:pt idx="4">
                  <c:v>0.28262233375156837</c:v>
                </c:pt>
                <c:pt idx="5">
                  <c:v>0.31534922626516104</c:v>
                </c:pt>
                <c:pt idx="6">
                  <c:v>0.34995817649519029</c:v>
                </c:pt>
                <c:pt idx="7">
                  <c:v>0.39397741530740277</c:v>
                </c:pt>
                <c:pt idx="8">
                  <c:v>0.40892931827687157</c:v>
                </c:pt>
                <c:pt idx="9">
                  <c:v>0.42471769134253445</c:v>
                </c:pt>
                <c:pt idx="10">
                  <c:v>0.44102885821831866</c:v>
                </c:pt>
                <c:pt idx="11">
                  <c:v>0.46309075700543706</c:v>
                </c:pt>
                <c:pt idx="12">
                  <c:v>0.56168966959431199</c:v>
                </c:pt>
                <c:pt idx="13">
                  <c:v>0.62923462986198242</c:v>
                </c:pt>
                <c:pt idx="14">
                  <c:v>0.66206608113759935</c:v>
                </c:pt>
                <c:pt idx="15">
                  <c:v>0.7030531158511083</c:v>
                </c:pt>
                <c:pt idx="16">
                  <c:v>0.75439146800501888</c:v>
                </c:pt>
                <c:pt idx="17">
                  <c:v>0.82883730656629018</c:v>
                </c:pt>
                <c:pt idx="18">
                  <c:v>1.0391049769970724</c:v>
                </c:pt>
                <c:pt idx="19">
                  <c:v>1.3730656629025511</c:v>
                </c:pt>
                <c:pt idx="20">
                  <c:v>2.6342534504391466</c:v>
                </c:pt>
              </c:numCache>
            </c:numRef>
          </c:xVal>
          <c:yVal>
            <c:numRef>
              <c:f>'Run 2 (Alex)'!$G$128:$G$148</c:f>
              <c:numCache>
                <c:formatCode>General</c:formatCode>
                <c:ptCount val="21"/>
                <c:pt idx="0">
                  <c:v>5.0000000000000001E-3</c:v>
                </c:pt>
                <c:pt idx="1">
                  <c:v>7.0000000000000001E-3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7.0000000000000001E-3</c:v>
                </c:pt>
                <c:pt idx="5">
                  <c:v>7.6E-3</c:v>
                </c:pt>
                <c:pt idx="6">
                  <c:v>5.0000000000000001E-3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6.0000000000000001E-3</c:v>
                </c:pt>
                <c:pt idx="10">
                  <c:v>5.0000000000000001E-3</c:v>
                </c:pt>
                <c:pt idx="11">
                  <c:v>7.1000000000000004E-3</c:v>
                </c:pt>
                <c:pt idx="12">
                  <c:v>7.4000000000000003E-3</c:v>
                </c:pt>
                <c:pt idx="13">
                  <c:v>5.0000000000000001E-3</c:v>
                </c:pt>
                <c:pt idx="14">
                  <c:v>5.3E-3</c:v>
                </c:pt>
                <c:pt idx="15">
                  <c:v>8.0000000000000002E-3</c:v>
                </c:pt>
                <c:pt idx="16">
                  <c:v>1.6500000000000001E-2</c:v>
                </c:pt>
                <c:pt idx="17">
                  <c:v>1.4999999999999999E-2</c:v>
                </c:pt>
                <c:pt idx="18">
                  <c:v>8.9999999999999993E-3</c:v>
                </c:pt>
                <c:pt idx="19">
                  <c:v>7.0000000000000001E-3</c:v>
                </c:pt>
                <c:pt idx="20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EC-4138-B9EE-03484E01115A}"/>
            </c:ext>
          </c:extLst>
        </c:ser>
        <c:ser>
          <c:idx val="7"/>
          <c:order val="7"/>
          <c:tx>
            <c:strRef>
              <c:f>'Run 2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(Alex)'!$I$149:$I$169</c:f>
              <c:numCache>
                <c:formatCode>General</c:formatCode>
                <c:ptCount val="21"/>
                <c:pt idx="0">
                  <c:v>1.9402120883951834E-2</c:v>
                </c:pt>
                <c:pt idx="1">
                  <c:v>2.433440914403354E-2</c:v>
                </c:pt>
                <c:pt idx="2">
                  <c:v>3.457426846659447E-2</c:v>
                </c:pt>
                <c:pt idx="3">
                  <c:v>4.3790141856899313E-2</c:v>
                </c:pt>
                <c:pt idx="4">
                  <c:v>5.1638913609898883E-2</c:v>
                </c:pt>
                <c:pt idx="5">
                  <c:v>5.9123124926283736E-2</c:v>
                </c:pt>
                <c:pt idx="6">
                  <c:v>6.6762810546518989E-2</c:v>
                </c:pt>
                <c:pt idx="7">
                  <c:v>7.4005768632791138E-2</c:v>
                </c:pt>
                <c:pt idx="8">
                  <c:v>7.9206116037442501E-2</c:v>
                </c:pt>
                <c:pt idx="9">
                  <c:v>8.4620910757749593E-2</c:v>
                </c:pt>
                <c:pt idx="10">
                  <c:v>8.9285139873261629E-2</c:v>
                </c:pt>
                <c:pt idx="11">
                  <c:v>9.4067315012384342E-2</c:v>
                </c:pt>
                <c:pt idx="12">
                  <c:v>9.9803780706175016E-2</c:v>
                </c:pt>
                <c:pt idx="13">
                  <c:v>0.10655350996643899</c:v>
                </c:pt>
                <c:pt idx="14">
                  <c:v>0.11445053236546111</c:v>
                </c:pt>
                <c:pt idx="15">
                  <c:v>0.12390765898587865</c:v>
                </c:pt>
                <c:pt idx="16">
                  <c:v>0.13710689126448861</c:v>
                </c:pt>
                <c:pt idx="17">
                  <c:v>0.15454145802729913</c:v>
                </c:pt>
                <c:pt idx="18">
                  <c:v>0.18682114021637736</c:v>
                </c:pt>
                <c:pt idx="19">
                  <c:v>0.25501538659489831</c:v>
                </c:pt>
                <c:pt idx="20">
                  <c:v>0.49185636318797382</c:v>
                </c:pt>
              </c:numCache>
            </c:numRef>
          </c:xVal>
          <c:yVal>
            <c:numRef>
              <c:f>'Run 2 (Alex)'!$G$149:$G$169</c:f>
              <c:numCache>
                <c:formatCode>General</c:formatCode>
                <c:ptCount val="21"/>
                <c:pt idx="0">
                  <c:v>2.7E-2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2.8000000000000001E-2</c:v>
                </c:pt>
                <c:pt idx="4">
                  <c:v>2.8000000000000001E-2</c:v>
                </c:pt>
                <c:pt idx="5">
                  <c:v>0.03</c:v>
                </c:pt>
                <c:pt idx="6">
                  <c:v>0.03</c:v>
                </c:pt>
                <c:pt idx="7">
                  <c:v>3.2000000000000001E-2</c:v>
                </c:pt>
                <c:pt idx="8">
                  <c:v>2.92E-2</c:v>
                </c:pt>
                <c:pt idx="9">
                  <c:v>3.0800000000000001E-2</c:v>
                </c:pt>
                <c:pt idx="10">
                  <c:v>2.8500000000000001E-2</c:v>
                </c:pt>
                <c:pt idx="11">
                  <c:v>3.2000000000000001E-2</c:v>
                </c:pt>
                <c:pt idx="12">
                  <c:v>2.9000000000000001E-2</c:v>
                </c:pt>
                <c:pt idx="13">
                  <c:v>3.1E-2</c:v>
                </c:pt>
                <c:pt idx="14">
                  <c:v>2.9000000000000001E-2</c:v>
                </c:pt>
                <c:pt idx="15">
                  <c:v>2.9100000000000001E-2</c:v>
                </c:pt>
                <c:pt idx="16">
                  <c:v>3.2000000000000001E-2</c:v>
                </c:pt>
                <c:pt idx="17">
                  <c:v>3.1E-2</c:v>
                </c:pt>
                <c:pt idx="18">
                  <c:v>2.9000000000000001E-2</c:v>
                </c:pt>
                <c:pt idx="19">
                  <c:v>3.2500000000000001E-2</c:v>
                </c:pt>
                <c:pt idx="20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EC-4138-B9EE-03484E01115A}"/>
            </c:ext>
          </c:extLst>
        </c:ser>
        <c:ser>
          <c:idx val="8"/>
          <c:order val="8"/>
          <c:tx>
            <c:strRef>
              <c:f>'Run 2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(Alex)'!$I$170:$I$190</c:f>
              <c:numCache>
                <c:formatCode>General</c:formatCode>
                <c:ptCount val="21"/>
                <c:pt idx="0">
                  <c:v>1.7256376441538761E-2</c:v>
                </c:pt>
                <c:pt idx="1">
                  <c:v>2.2311699729696866E-2</c:v>
                </c:pt>
                <c:pt idx="2">
                  <c:v>3.1664749291506492E-2</c:v>
                </c:pt>
                <c:pt idx="3">
                  <c:v>3.9680312765977339E-2</c:v>
                </c:pt>
                <c:pt idx="4">
                  <c:v>4.6849425255104424E-2</c:v>
                </c:pt>
                <c:pt idx="5">
                  <c:v>5.3611680088292785E-2</c:v>
                </c:pt>
                <c:pt idx="6">
                  <c:v>6.0224286128492191E-2</c:v>
                </c:pt>
                <c:pt idx="7">
                  <c:v>6.6397298839286537E-2</c:v>
                </c:pt>
                <c:pt idx="8">
                  <c:v>7.1340385532702943E-2</c:v>
                </c:pt>
                <c:pt idx="9">
                  <c:v>7.6751124704209805E-2</c:v>
                </c:pt>
                <c:pt idx="10">
                  <c:v>8.1572621753322666E-2</c:v>
                </c:pt>
                <c:pt idx="11">
                  <c:v>8.6796299933593335E-2</c:v>
                </c:pt>
                <c:pt idx="12">
                  <c:v>9.2945930020483167E-2</c:v>
                </c:pt>
                <c:pt idx="13">
                  <c:v>0.10082119775152688</c:v>
                </c:pt>
                <c:pt idx="14">
                  <c:v>0.11020698298680284</c:v>
                </c:pt>
                <c:pt idx="15">
                  <c:v>0.12113602139977737</c:v>
                </c:pt>
                <c:pt idx="16">
                  <c:v>0.13769559564896133</c:v>
                </c:pt>
                <c:pt idx="17">
                  <c:v>0.16023176856814164</c:v>
                </c:pt>
                <c:pt idx="18">
                  <c:v>0.19938363403387674</c:v>
                </c:pt>
                <c:pt idx="19">
                  <c:v>0.28236388974625171</c:v>
                </c:pt>
                <c:pt idx="20">
                  <c:v>0.54421186527867405</c:v>
                </c:pt>
              </c:numCache>
            </c:numRef>
          </c:xVal>
          <c:yVal>
            <c:numRef>
              <c:f>'Run 2 (Alex)'!$G$170:$G$190</c:f>
              <c:numCache>
                <c:formatCode>General</c:formatCode>
                <c:ptCount val="21"/>
                <c:pt idx="0">
                  <c:v>3.3000000000000002E-2</c:v>
                </c:pt>
                <c:pt idx="1">
                  <c:v>3.5999999999999997E-2</c:v>
                </c:pt>
                <c:pt idx="2">
                  <c:v>3.44E-2</c:v>
                </c:pt>
                <c:pt idx="3">
                  <c:v>3.6999999999999998E-2</c:v>
                </c:pt>
                <c:pt idx="4">
                  <c:v>3.4000000000000002E-2</c:v>
                </c:pt>
                <c:pt idx="5">
                  <c:v>3.7999999999999999E-2</c:v>
                </c:pt>
                <c:pt idx="6">
                  <c:v>3.5000000000000003E-2</c:v>
                </c:pt>
                <c:pt idx="7">
                  <c:v>3.6999999999999998E-2</c:v>
                </c:pt>
                <c:pt idx="8">
                  <c:v>3.6400000000000002E-2</c:v>
                </c:pt>
                <c:pt idx="9">
                  <c:v>3.6600000000000001E-2</c:v>
                </c:pt>
                <c:pt idx="10">
                  <c:v>3.5999999999999997E-2</c:v>
                </c:pt>
                <c:pt idx="11">
                  <c:v>3.6999999999999998E-2</c:v>
                </c:pt>
                <c:pt idx="12">
                  <c:v>3.5999999999999997E-2</c:v>
                </c:pt>
                <c:pt idx="13">
                  <c:v>3.6999999999999998E-2</c:v>
                </c:pt>
                <c:pt idx="14">
                  <c:v>3.7999999999999999E-2</c:v>
                </c:pt>
                <c:pt idx="15">
                  <c:v>4.2099999999999999E-2</c:v>
                </c:pt>
                <c:pt idx="16">
                  <c:v>3.9E-2</c:v>
                </c:pt>
                <c:pt idx="17">
                  <c:v>3.9E-2</c:v>
                </c:pt>
                <c:pt idx="18">
                  <c:v>3.7999999999999999E-2</c:v>
                </c:pt>
                <c:pt idx="19">
                  <c:v>3.9899999999999998E-2</c:v>
                </c:pt>
                <c:pt idx="20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EC-4138-B9EE-03484E01115A}"/>
            </c:ext>
          </c:extLst>
        </c:ser>
        <c:ser>
          <c:idx val="9"/>
          <c:order val="9"/>
          <c:tx>
            <c:strRef>
              <c:f>'Run 2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(Alex)'!$I$254:$I$273</c:f>
              <c:numCache>
                <c:formatCode>General</c:formatCode>
                <c:ptCount val="20"/>
                <c:pt idx="0">
                  <c:v>0.10784479360252294</c:v>
                </c:pt>
                <c:pt idx="1">
                  <c:v>0.1291040153179028</c:v>
                </c:pt>
                <c:pt idx="2">
                  <c:v>0.17624035591597681</c:v>
                </c:pt>
                <c:pt idx="3">
                  <c:v>0.21839274652249818</c:v>
                </c:pt>
                <c:pt idx="4">
                  <c:v>0.25654671397195472</c:v>
                </c:pt>
                <c:pt idx="5">
                  <c:v>0.29436278650672976</c:v>
                </c:pt>
                <c:pt idx="6">
                  <c:v>0.32739201441684967</c:v>
                </c:pt>
                <c:pt idx="7">
                  <c:v>0.36850256236976969</c:v>
                </c:pt>
                <c:pt idx="8">
                  <c:v>0.39226783803570425</c:v>
                </c:pt>
                <c:pt idx="9">
                  <c:v>0.41665258771188829</c:v>
                </c:pt>
                <c:pt idx="10">
                  <c:v>0.44236075913724165</c:v>
                </c:pt>
                <c:pt idx="11">
                  <c:v>0.47426367066508984</c:v>
                </c:pt>
                <c:pt idx="12">
                  <c:v>0.51911922058906357</c:v>
                </c:pt>
                <c:pt idx="13">
                  <c:v>0.58120741116179531</c:v>
                </c:pt>
                <c:pt idx="14">
                  <c:v>0.62870980458410775</c:v>
                </c:pt>
                <c:pt idx="15">
                  <c:v>0.69499352368080192</c:v>
                </c:pt>
                <c:pt idx="16">
                  <c:v>0.79523568170299042</c:v>
                </c:pt>
                <c:pt idx="17">
                  <c:v>0.88919862589401377</c:v>
                </c:pt>
                <c:pt idx="18">
                  <c:v>1.0519231852227291</c:v>
                </c:pt>
                <c:pt idx="19">
                  <c:v>1.4119783747254604</c:v>
                </c:pt>
              </c:numCache>
            </c:numRef>
          </c:xVal>
          <c:yVal>
            <c:numRef>
              <c:f>'Run 2 (Alex)'!$G$254:$G$273</c:f>
              <c:numCache>
                <c:formatCode>General</c:formatCode>
                <c:ptCount val="20"/>
                <c:pt idx="0">
                  <c:v>1.4999999999999999E-2</c:v>
                </c:pt>
                <c:pt idx="1">
                  <c:v>1.6E-2</c:v>
                </c:pt>
                <c:pt idx="2">
                  <c:v>1.6E-2</c:v>
                </c:pt>
                <c:pt idx="3">
                  <c:v>1.4999999999999999E-2</c:v>
                </c:pt>
                <c:pt idx="4">
                  <c:v>1.7000000000000001E-2</c:v>
                </c:pt>
                <c:pt idx="5">
                  <c:v>1.67E-2</c:v>
                </c:pt>
                <c:pt idx="6">
                  <c:v>1.4999999999999999E-2</c:v>
                </c:pt>
                <c:pt idx="7">
                  <c:v>1.7000000000000001E-2</c:v>
                </c:pt>
                <c:pt idx="8">
                  <c:v>1.6E-2</c:v>
                </c:pt>
                <c:pt idx="9">
                  <c:v>1.4999999999999999E-2</c:v>
                </c:pt>
                <c:pt idx="10">
                  <c:v>1.7999999999999999E-2</c:v>
                </c:pt>
                <c:pt idx="11">
                  <c:v>1.4999999999999999E-2</c:v>
                </c:pt>
                <c:pt idx="12">
                  <c:v>1.6E-2</c:v>
                </c:pt>
                <c:pt idx="13">
                  <c:v>1.7999999999999999E-2</c:v>
                </c:pt>
                <c:pt idx="14">
                  <c:v>1.6E-2</c:v>
                </c:pt>
                <c:pt idx="15">
                  <c:v>1.7999999999999999E-2</c:v>
                </c:pt>
                <c:pt idx="16">
                  <c:v>1.9E-2</c:v>
                </c:pt>
                <c:pt idx="17">
                  <c:v>1.9099999999999999E-2</c:v>
                </c:pt>
                <c:pt idx="18">
                  <c:v>1.7999999999999999E-2</c:v>
                </c:pt>
                <c:pt idx="19">
                  <c:v>2.3099999999999999E-2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EC-4138-B9EE-03484E01115A}"/>
            </c:ext>
          </c:extLst>
        </c:ser>
        <c:ser>
          <c:idx val="10"/>
          <c:order val="10"/>
          <c:tx>
            <c:strRef>
              <c:f>'Run 2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(Alex)'!$I$212:$I$232</c:f>
              <c:numCache>
                <c:formatCode>General</c:formatCode>
                <c:ptCount val="21"/>
                <c:pt idx="0">
                  <c:v>5.9161981089511907E-2</c:v>
                </c:pt>
                <c:pt idx="1">
                  <c:v>7.9949934264465464E-2</c:v>
                </c:pt>
                <c:pt idx="2">
                  <c:v>0.12612975369792703</c:v>
                </c:pt>
                <c:pt idx="3">
                  <c:v>0.16707498702268966</c:v>
                </c:pt>
                <c:pt idx="4">
                  <c:v>0.20402757496519169</c:v>
                </c:pt>
                <c:pt idx="5">
                  <c:v>0.23992257275783613</c:v>
                </c:pt>
                <c:pt idx="6">
                  <c:v>0.27046170116771534</c:v>
                </c:pt>
                <c:pt idx="7">
                  <c:v>0.30514871755066003</c:v>
                </c:pt>
                <c:pt idx="8">
                  <c:v>0.3250634311523366</c:v>
                </c:pt>
                <c:pt idx="9">
                  <c:v>0.36792979153830851</c:v>
                </c:pt>
                <c:pt idx="10">
                  <c:v>0.38465232936656174</c:v>
                </c:pt>
                <c:pt idx="11">
                  <c:v>0.39996798121564653</c:v>
                </c:pt>
                <c:pt idx="12">
                  <c:v>0.44931571976771828</c:v>
                </c:pt>
                <c:pt idx="13">
                  <c:v>0.50517879580262848</c:v>
                </c:pt>
                <c:pt idx="14">
                  <c:v>0.53205516933570729</c:v>
                </c:pt>
                <c:pt idx="15">
                  <c:v>0.56276409432927921</c:v>
                </c:pt>
                <c:pt idx="16">
                  <c:v>0.71393641845640354</c:v>
                </c:pt>
                <c:pt idx="17">
                  <c:v>0.86529309316010838</c:v>
                </c:pt>
                <c:pt idx="18">
                  <c:v>1.0029932712039549</c:v>
                </c:pt>
                <c:pt idx="19">
                  <c:v>1.3512897263364205</c:v>
                </c:pt>
                <c:pt idx="20">
                  <c:v>2.2181934613761287</c:v>
                </c:pt>
              </c:numCache>
            </c:numRef>
          </c:xVal>
          <c:yVal>
            <c:numRef>
              <c:f>'Run 2 (Alex)'!$G$212:$G$232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4.3999999999999997E-2</c:v>
                </c:pt>
                <c:pt idx="2">
                  <c:v>4.2999999999999997E-2</c:v>
                </c:pt>
                <c:pt idx="3">
                  <c:v>4.5999999999999999E-2</c:v>
                </c:pt>
                <c:pt idx="4">
                  <c:v>4.4999999999999998E-2</c:v>
                </c:pt>
                <c:pt idx="5">
                  <c:v>0.05</c:v>
                </c:pt>
                <c:pt idx="6">
                  <c:v>4.7E-2</c:v>
                </c:pt>
                <c:pt idx="7">
                  <c:v>4.7E-2</c:v>
                </c:pt>
                <c:pt idx="8">
                  <c:v>4.8000000000000001E-2</c:v>
                </c:pt>
                <c:pt idx="9">
                  <c:v>4.9000000000000002E-2</c:v>
                </c:pt>
                <c:pt idx="10">
                  <c:v>4.7300000000000002E-2</c:v>
                </c:pt>
                <c:pt idx="11">
                  <c:v>4.9099999999999998E-2</c:v>
                </c:pt>
                <c:pt idx="12">
                  <c:v>5.0500000000000003E-2</c:v>
                </c:pt>
                <c:pt idx="13">
                  <c:v>4.9200000000000001E-2</c:v>
                </c:pt>
                <c:pt idx="14">
                  <c:v>4.8000000000000001E-2</c:v>
                </c:pt>
                <c:pt idx="15">
                  <c:v>0.05</c:v>
                </c:pt>
                <c:pt idx="16">
                  <c:v>5.2200000000000003E-2</c:v>
                </c:pt>
                <c:pt idx="17">
                  <c:v>5.45E-2</c:v>
                </c:pt>
                <c:pt idx="18">
                  <c:v>5.6500000000000002E-2</c:v>
                </c:pt>
                <c:pt idx="19">
                  <c:v>6.1199999999999997E-2</c:v>
                </c:pt>
                <c:pt idx="20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EC-4138-B9EE-03484E01115A}"/>
            </c:ext>
          </c:extLst>
        </c:ser>
        <c:ser>
          <c:idx val="11"/>
          <c:order val="11"/>
          <c:tx>
            <c:strRef>
              <c:f>'Run 2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(Alex)'!$I$233:$I$253</c:f>
              <c:numCache>
                <c:formatCode>General</c:formatCode>
                <c:ptCount val="21"/>
                <c:pt idx="0">
                  <c:v>4.6560663670929828E-2</c:v>
                </c:pt>
                <c:pt idx="1">
                  <c:v>5.4631870031109572E-2</c:v>
                </c:pt>
                <c:pt idx="2">
                  <c:v>7.1361908053923256E-2</c:v>
                </c:pt>
                <c:pt idx="3">
                  <c:v>8.6329070169374356E-2</c:v>
                </c:pt>
                <c:pt idx="4">
                  <c:v>9.9153128240580701E-2</c:v>
                </c:pt>
                <c:pt idx="5">
                  <c:v>0.1115105426892499</c:v>
                </c:pt>
                <c:pt idx="6">
                  <c:v>0.12317663325267887</c:v>
                </c:pt>
                <c:pt idx="7">
                  <c:v>0.13441064638783268</c:v>
                </c:pt>
                <c:pt idx="8">
                  <c:v>0.14377808503283787</c:v>
                </c:pt>
                <c:pt idx="9">
                  <c:v>0.15508123055651574</c:v>
                </c:pt>
                <c:pt idx="10">
                  <c:v>0.16451780159004492</c:v>
                </c:pt>
                <c:pt idx="11">
                  <c:v>0.17428275146906325</c:v>
                </c:pt>
                <c:pt idx="12">
                  <c:v>0.18689941237469754</c:v>
                </c:pt>
                <c:pt idx="13">
                  <c:v>0.20285171102661598</c:v>
                </c:pt>
                <c:pt idx="14">
                  <c:v>0.22205323193916346</c:v>
                </c:pt>
                <c:pt idx="15">
                  <c:v>0.24424472865537503</c:v>
                </c:pt>
                <c:pt idx="16">
                  <c:v>0.28043553404770133</c:v>
                </c:pt>
                <c:pt idx="17">
                  <c:v>0.33287245074317318</c:v>
                </c:pt>
                <c:pt idx="18">
                  <c:v>0.43204286208088488</c:v>
                </c:pt>
                <c:pt idx="19">
                  <c:v>0.66973729692360862</c:v>
                </c:pt>
                <c:pt idx="20">
                  <c:v>1.5772554441755962</c:v>
                </c:pt>
              </c:numCache>
            </c:numRef>
          </c:xVal>
          <c:yVal>
            <c:numRef>
              <c:f>'Run 2 (Alex)'!$G$233:$G$253</c:f>
              <c:numCache>
                <c:formatCode>General</c:formatCode>
                <c:ptCount val="21"/>
                <c:pt idx="0">
                  <c:v>1.6E-2</c:v>
                </c:pt>
                <c:pt idx="1">
                  <c:v>1.3299999999999999E-2</c:v>
                </c:pt>
                <c:pt idx="2">
                  <c:v>1.6E-2</c:v>
                </c:pt>
                <c:pt idx="3">
                  <c:v>1.7600000000000001E-2</c:v>
                </c:pt>
                <c:pt idx="4">
                  <c:v>1.6E-2</c:v>
                </c:pt>
                <c:pt idx="5">
                  <c:v>1.6E-2</c:v>
                </c:pt>
                <c:pt idx="6">
                  <c:v>1.7999999999999999E-2</c:v>
                </c:pt>
                <c:pt idx="7">
                  <c:v>1.7999999999999999E-2</c:v>
                </c:pt>
                <c:pt idx="8">
                  <c:v>1.7000000000000001E-2</c:v>
                </c:pt>
                <c:pt idx="9">
                  <c:v>1.4500000000000001E-2</c:v>
                </c:pt>
                <c:pt idx="10">
                  <c:v>1.7999999999999999E-2</c:v>
                </c:pt>
                <c:pt idx="11">
                  <c:v>1.7000000000000001E-2</c:v>
                </c:pt>
                <c:pt idx="12">
                  <c:v>1.61E-2</c:v>
                </c:pt>
                <c:pt idx="13">
                  <c:v>1.9E-2</c:v>
                </c:pt>
                <c:pt idx="14">
                  <c:v>1.9E-2</c:v>
                </c:pt>
                <c:pt idx="15">
                  <c:v>1.7000000000000001E-2</c:v>
                </c:pt>
                <c:pt idx="16">
                  <c:v>1.8599999999999998E-2</c:v>
                </c:pt>
                <c:pt idx="17">
                  <c:v>1.7000000000000001E-2</c:v>
                </c:pt>
                <c:pt idx="18">
                  <c:v>1.7000000000000001E-2</c:v>
                </c:pt>
                <c:pt idx="19">
                  <c:v>1.7999999999999999E-2</c:v>
                </c:pt>
                <c:pt idx="20">
                  <c:v>2.01E-2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EC-4138-B9EE-03484E01115A}"/>
            </c:ext>
          </c:extLst>
        </c:ser>
        <c:ser>
          <c:idx val="12"/>
          <c:order val="12"/>
          <c:tx>
            <c:strRef>
              <c:f>'Run 2 (Alex)'!$A$274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(Alex)'!$I$274:$I$295</c:f>
              <c:numCache>
                <c:formatCode>General</c:formatCode>
                <c:ptCount val="22"/>
                <c:pt idx="0">
                  <c:v>2.4389254941713125</c:v>
                </c:pt>
                <c:pt idx="1">
                  <c:v>1.2715650560175956E-2</c:v>
                </c:pt>
                <c:pt idx="2">
                  <c:v>1.4700323046257473E-2</c:v>
                </c:pt>
                <c:pt idx="3">
                  <c:v>1.9657708433569315E-2</c:v>
                </c:pt>
                <c:pt idx="4">
                  <c:v>2.4546360574609939E-2</c:v>
                </c:pt>
                <c:pt idx="5">
                  <c:v>2.9014021582239331E-2</c:v>
                </c:pt>
                <c:pt idx="6">
                  <c:v>3.3352807753110177E-2</c:v>
                </c:pt>
                <c:pt idx="7">
                  <c:v>3.7536944119870776E-2</c:v>
                </c:pt>
                <c:pt idx="8">
                  <c:v>4.1514880747817715E-2</c:v>
                </c:pt>
                <c:pt idx="9">
                  <c:v>4.5037459619217811E-2</c:v>
                </c:pt>
                <c:pt idx="10">
                  <c:v>4.9006804591380848E-2</c:v>
                </c:pt>
                <c:pt idx="11">
                  <c:v>5.2503608495429233E-2</c:v>
                </c:pt>
                <c:pt idx="12">
                  <c:v>5.6163653859371776E-2</c:v>
                </c:pt>
                <c:pt idx="13">
                  <c:v>6.0932022819437763E-2</c:v>
                </c:pt>
                <c:pt idx="14">
                  <c:v>6.6928998556601824E-2</c:v>
                </c:pt>
                <c:pt idx="15">
                  <c:v>7.4429514055948859E-2</c:v>
                </c:pt>
                <c:pt idx="16">
                  <c:v>8.3261736201800801E-2</c:v>
                </c:pt>
                <c:pt idx="17">
                  <c:v>9.7395009966320709E-2</c:v>
                </c:pt>
                <c:pt idx="18">
                  <c:v>0.11767990927211491</c:v>
                </c:pt>
                <c:pt idx="19">
                  <c:v>0.15327513918482369</c:v>
                </c:pt>
                <c:pt idx="20">
                  <c:v>0.22768746992920474</c:v>
                </c:pt>
                <c:pt idx="21">
                  <c:v>0.48554883497147566</c:v>
                </c:pt>
              </c:numCache>
            </c:numRef>
          </c:xVal>
          <c:yVal>
            <c:numRef>
              <c:f>'Run 2 (Alex)'!$G$274:$G$295</c:f>
              <c:numCache>
                <c:formatCode>General</c:formatCode>
                <c:ptCount val="22"/>
                <c:pt idx="0">
                  <c:v>1.9E-2</c:v>
                </c:pt>
                <c:pt idx="1">
                  <c:v>1.6E-2</c:v>
                </c:pt>
                <c:pt idx="2">
                  <c:v>1.9E-2</c:v>
                </c:pt>
                <c:pt idx="3">
                  <c:v>1.9E-2</c:v>
                </c:pt>
                <c:pt idx="4">
                  <c:v>2.7E-2</c:v>
                </c:pt>
                <c:pt idx="5">
                  <c:v>1.9099999999999999E-2</c:v>
                </c:pt>
                <c:pt idx="6">
                  <c:v>1.7999999999999999E-2</c:v>
                </c:pt>
                <c:pt idx="7">
                  <c:v>1.9E-2</c:v>
                </c:pt>
                <c:pt idx="8">
                  <c:v>1.7999999999999999E-2</c:v>
                </c:pt>
                <c:pt idx="9">
                  <c:v>1.7999999999999999E-2</c:v>
                </c:pt>
                <c:pt idx="10">
                  <c:v>2.1000000000000001E-2</c:v>
                </c:pt>
                <c:pt idx="11">
                  <c:v>2.1000000000000001E-2</c:v>
                </c:pt>
                <c:pt idx="12">
                  <c:v>2.01E-2</c:v>
                </c:pt>
                <c:pt idx="13">
                  <c:v>1.8499999999999999E-2</c:v>
                </c:pt>
                <c:pt idx="14">
                  <c:v>2.1000000000000001E-2</c:v>
                </c:pt>
                <c:pt idx="15">
                  <c:v>1.7999999999999999E-2</c:v>
                </c:pt>
                <c:pt idx="16">
                  <c:v>1.7999999999999999E-2</c:v>
                </c:pt>
                <c:pt idx="17">
                  <c:v>2.1000000000000001E-2</c:v>
                </c:pt>
                <c:pt idx="18">
                  <c:v>1.9E-2</c:v>
                </c:pt>
                <c:pt idx="19">
                  <c:v>2.1000000000000001E-2</c:v>
                </c:pt>
                <c:pt idx="20">
                  <c:v>2.3300000000000001E-2</c:v>
                </c:pt>
                <c:pt idx="21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EC-4138-B9EE-03484E01115A}"/>
            </c:ext>
          </c:extLst>
        </c:ser>
        <c:ser>
          <c:idx val="13"/>
          <c:order val="13"/>
          <c:tx>
            <c:strRef>
              <c:f>'Run 2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(Alex)'!$I$296:$I$316</c:f>
              <c:numCache>
                <c:formatCode>General</c:formatCode>
                <c:ptCount val="21"/>
                <c:pt idx="0">
                  <c:v>1.0631968946404275E-2</c:v>
                </c:pt>
                <c:pt idx="1">
                  <c:v>1.3718479598989227E-2</c:v>
                </c:pt>
                <c:pt idx="2">
                  <c:v>1.9797256304080201E-2</c:v>
                </c:pt>
                <c:pt idx="3">
                  <c:v>2.5275223683667997E-2</c:v>
                </c:pt>
                <c:pt idx="4">
                  <c:v>3.0441005825494343E-2</c:v>
                </c:pt>
                <c:pt idx="5">
                  <c:v>3.5412408479657889E-2</c:v>
                </c:pt>
                <c:pt idx="6">
                  <c:v>4.005395503354519E-2</c:v>
                </c:pt>
                <c:pt idx="7">
                  <c:v>4.4613037562363414E-2</c:v>
                </c:pt>
                <c:pt idx="8">
                  <c:v>4.8318028402966347E-2</c:v>
                </c:pt>
                <c:pt idx="9">
                  <c:v>5.2665060581606984E-2</c:v>
                </c:pt>
                <c:pt idx="10">
                  <c:v>5.6428954297259248E-2</c:v>
                </c:pt>
                <c:pt idx="11">
                  <c:v>6.0404898363089099E-2</c:v>
                </c:pt>
                <c:pt idx="12">
                  <c:v>6.5594241654935173E-2</c:v>
                </c:pt>
                <c:pt idx="13">
                  <c:v>7.2120680210401064E-2</c:v>
                </c:pt>
                <c:pt idx="14">
                  <c:v>8.048488846740609E-2</c:v>
                </c:pt>
                <c:pt idx="15">
                  <c:v>9.0527828663317059E-2</c:v>
                </c:pt>
                <c:pt idx="16">
                  <c:v>0.10613120026388488</c:v>
                </c:pt>
                <c:pt idx="17">
                  <c:v>0.12765431080691048</c:v>
                </c:pt>
                <c:pt idx="18">
                  <c:v>0.16382067608719983</c:v>
                </c:pt>
                <c:pt idx="19">
                  <c:v>0.23577053795995781</c:v>
                </c:pt>
                <c:pt idx="20">
                  <c:v>0.45467129250578719</c:v>
                </c:pt>
              </c:numCache>
            </c:numRef>
          </c:xVal>
          <c:yVal>
            <c:numRef>
              <c:f>'Run 2 (Alex)'!$G$296:$G$316</c:f>
              <c:numCache>
                <c:formatCode>General</c:formatCode>
                <c:ptCount val="21"/>
                <c:pt idx="0">
                  <c:v>1.7000000000000001E-2</c:v>
                </c:pt>
                <c:pt idx="1">
                  <c:v>2.1000000000000001E-2</c:v>
                </c:pt>
                <c:pt idx="2">
                  <c:v>1.9199999999999998E-2</c:v>
                </c:pt>
                <c:pt idx="3">
                  <c:v>1.7000000000000001E-2</c:v>
                </c:pt>
                <c:pt idx="4">
                  <c:v>1.7000000000000001E-2</c:v>
                </c:pt>
                <c:pt idx="5">
                  <c:v>2.1999999999999999E-2</c:v>
                </c:pt>
                <c:pt idx="6">
                  <c:v>1.9E-2</c:v>
                </c:pt>
                <c:pt idx="7">
                  <c:v>1.9099999999999999E-2</c:v>
                </c:pt>
                <c:pt idx="8">
                  <c:v>2.1000000000000001E-2</c:v>
                </c:pt>
                <c:pt idx="9">
                  <c:v>0.02</c:v>
                </c:pt>
                <c:pt idx="10">
                  <c:v>2.1000000000000001E-2</c:v>
                </c:pt>
                <c:pt idx="11">
                  <c:v>1.9E-2</c:v>
                </c:pt>
                <c:pt idx="12">
                  <c:v>2.3E-2</c:v>
                </c:pt>
                <c:pt idx="13">
                  <c:v>1.9E-2</c:v>
                </c:pt>
                <c:pt idx="14">
                  <c:v>0.02</c:v>
                </c:pt>
                <c:pt idx="15">
                  <c:v>3.4000000000000002E-2</c:v>
                </c:pt>
                <c:pt idx="16">
                  <c:v>2.1000000000000001E-2</c:v>
                </c:pt>
                <c:pt idx="17">
                  <c:v>2.1000000000000001E-2</c:v>
                </c:pt>
                <c:pt idx="18">
                  <c:v>0.02</c:v>
                </c:pt>
                <c:pt idx="19">
                  <c:v>2.1000000000000001E-2</c:v>
                </c:pt>
                <c:pt idx="20">
                  <c:v>2.5000000000000001E-2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EC-4138-B9EE-03484E01115A}"/>
            </c:ext>
          </c:extLst>
        </c:ser>
        <c:ser>
          <c:idx val="14"/>
          <c:order val="14"/>
          <c:tx>
            <c:strRef>
              <c:f>'Run 2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(Alex)'!$I$191:$I$211</c:f>
              <c:numCache>
                <c:formatCode>General</c:formatCode>
                <c:ptCount val="21"/>
                <c:pt idx="0">
                  <c:v>1.6040219106949964E-2</c:v>
                </c:pt>
                <c:pt idx="1">
                  <c:v>1.7163537422786833E-2</c:v>
                </c:pt>
                <c:pt idx="2">
                  <c:v>2.032511562514221E-2</c:v>
                </c:pt>
                <c:pt idx="3">
                  <c:v>2.3699860842656396E-2</c:v>
                </c:pt>
                <c:pt idx="4">
                  <c:v>2.7031493630138462E-2</c:v>
                </c:pt>
                <c:pt idx="5">
                  <c:v>3.034157020260447E-2</c:v>
                </c:pt>
                <c:pt idx="6">
                  <c:v>3.3553446239997314E-2</c:v>
                </c:pt>
                <c:pt idx="7">
                  <c:v>3.6700653632341984E-2</c:v>
                </c:pt>
                <c:pt idx="8">
                  <c:v>3.9337697269306589E-2</c:v>
                </c:pt>
                <c:pt idx="9">
                  <c:v>4.254957330669943E-2</c:v>
                </c:pt>
                <c:pt idx="10">
                  <c:v>4.5318349368762174E-2</c:v>
                </c:pt>
                <c:pt idx="11">
                  <c:v>4.8290711905976579E-2</c:v>
                </c:pt>
                <c:pt idx="12">
                  <c:v>5.2096581423811947E-2</c:v>
                </c:pt>
                <c:pt idx="13">
                  <c:v>5.7145526007573416E-2</c:v>
                </c:pt>
                <c:pt idx="14">
                  <c:v>6.3480658087293099E-2</c:v>
                </c:pt>
                <c:pt idx="15">
                  <c:v>7.0963059832867464E-2</c:v>
                </c:pt>
                <c:pt idx="16">
                  <c:v>8.3441713192164077E-2</c:v>
                </c:pt>
                <c:pt idx="17">
                  <c:v>0.10142438678556116</c:v>
                </c:pt>
                <c:pt idx="18">
                  <c:v>0.13379224119967523</c:v>
                </c:pt>
                <c:pt idx="19">
                  <c:v>0.20555767125814045</c:v>
                </c:pt>
                <c:pt idx="20">
                  <c:v>0.46245745641453079</c:v>
                </c:pt>
              </c:numCache>
            </c:numRef>
          </c:xVal>
          <c:yVal>
            <c:numRef>
              <c:f>'Run 2 (Alex)'!$G$191:$G$211</c:f>
              <c:numCache>
                <c:formatCode>General</c:formatCode>
                <c:ptCount val="21"/>
                <c:pt idx="0">
                  <c:v>7.5999999999999998E-2</c:v>
                </c:pt>
                <c:pt idx="1">
                  <c:v>7.6999999999999999E-2</c:v>
                </c:pt>
                <c:pt idx="2">
                  <c:v>7.4999999999999997E-2</c:v>
                </c:pt>
                <c:pt idx="3">
                  <c:v>7.8399999999999997E-2</c:v>
                </c:pt>
                <c:pt idx="4">
                  <c:v>7.8E-2</c:v>
                </c:pt>
                <c:pt idx="5">
                  <c:v>7.8E-2</c:v>
                </c:pt>
                <c:pt idx="6">
                  <c:v>7.8100000000000003E-2</c:v>
                </c:pt>
                <c:pt idx="7">
                  <c:v>8.0500000000000002E-2</c:v>
                </c:pt>
                <c:pt idx="8">
                  <c:v>7.9000000000000001E-2</c:v>
                </c:pt>
                <c:pt idx="9">
                  <c:v>8.1799999999999998E-2</c:v>
                </c:pt>
                <c:pt idx="10">
                  <c:v>7.6999999999999999E-2</c:v>
                </c:pt>
                <c:pt idx="11">
                  <c:v>7.9399999999999998E-2</c:v>
                </c:pt>
                <c:pt idx="12">
                  <c:v>7.6999999999999999E-2</c:v>
                </c:pt>
                <c:pt idx="13">
                  <c:v>7.9299999999999995E-2</c:v>
                </c:pt>
                <c:pt idx="14">
                  <c:v>7.85E-2</c:v>
                </c:pt>
                <c:pt idx="15">
                  <c:v>8.0500000000000002E-2</c:v>
                </c:pt>
                <c:pt idx="16">
                  <c:v>7.85E-2</c:v>
                </c:pt>
                <c:pt idx="17">
                  <c:v>8.1000000000000003E-2</c:v>
                </c:pt>
                <c:pt idx="18">
                  <c:v>8.3000000000000004E-2</c:v>
                </c:pt>
                <c:pt idx="19">
                  <c:v>8.4599999999999995E-2</c:v>
                </c:pt>
                <c:pt idx="20">
                  <c:v>9.1499999999999998E-2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EC-4138-B9EE-03484E011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2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2 (Alex)'!$I$2:$I$22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2.1692699492859419E-2</c:v>
                      </c:pt>
                      <c:pt idx="1">
                        <c:v>2.3812711077634476E-2</c:v>
                      </c:pt>
                      <c:pt idx="2">
                        <c:v>2.9387222906928866E-2</c:v>
                      </c:pt>
                      <c:pt idx="3">
                        <c:v>3.5049065078604905E-2</c:v>
                      </c:pt>
                      <c:pt idx="4">
                        <c:v>4.0280276380276599E-2</c:v>
                      </c:pt>
                      <c:pt idx="5">
                        <c:v>4.5206675526870084E-2</c:v>
                      </c:pt>
                      <c:pt idx="6">
                        <c:v>4.9744195809932938E-2</c:v>
                      </c:pt>
                      <c:pt idx="7">
                        <c:v>5.4084772666233051E-2</c:v>
                      </c:pt>
                      <c:pt idx="8">
                        <c:v>5.7640276753906414E-2</c:v>
                      </c:pt>
                      <c:pt idx="9">
                        <c:v>6.1644868124149307E-2</c:v>
                      </c:pt>
                      <c:pt idx="10">
                        <c:v>6.5173194018929403E-2</c:v>
                      </c:pt>
                      <c:pt idx="11">
                        <c:v>6.8722395916946358E-2</c:v>
                      </c:pt>
                      <c:pt idx="12">
                        <c:v>7.3223284722631343E-2</c:v>
                      </c:pt>
                      <c:pt idx="13">
                        <c:v>7.8681318582383211E-2</c:v>
                      </c:pt>
                      <c:pt idx="14">
                        <c:v>8.5565560469200275E-2</c:v>
                      </c:pt>
                      <c:pt idx="15">
                        <c:v>9.330920720085939E-2</c:v>
                      </c:pt>
                      <c:pt idx="16">
                        <c:v>0.10548847005961928</c:v>
                      </c:pt>
                      <c:pt idx="17">
                        <c:v>0.12301272125116922</c:v>
                      </c:pt>
                      <c:pt idx="18">
                        <c:v>0.1535451420499481</c:v>
                      </c:pt>
                      <c:pt idx="19">
                        <c:v>0.22149687020319667</c:v>
                      </c:pt>
                      <c:pt idx="20">
                        <c:v>0.43610043912194513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2 (Alex)'!$G$2:$G$22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2.415</c:v>
                      </c:pt>
                      <c:pt idx="1">
                        <c:v>2.3791000000000002</c:v>
                      </c:pt>
                      <c:pt idx="2">
                        <c:v>2.4121999999999999</c:v>
                      </c:pt>
                      <c:pt idx="3">
                        <c:v>2.4053</c:v>
                      </c:pt>
                      <c:pt idx="4">
                        <c:v>2.4304000000000001</c:v>
                      </c:pt>
                      <c:pt idx="5">
                        <c:v>2.3696000000000002</c:v>
                      </c:pt>
                      <c:pt idx="6">
                        <c:v>2.3839000000000001</c:v>
                      </c:pt>
                      <c:pt idx="7">
                        <c:v>2.2242999999999999</c:v>
                      </c:pt>
                      <c:pt idx="8">
                        <c:v>2.3311000000000002</c:v>
                      </c:pt>
                      <c:pt idx="9">
                        <c:v>2.5146999999999999</c:v>
                      </c:pt>
                      <c:pt idx="10">
                        <c:v>2.6135999999999999</c:v>
                      </c:pt>
                      <c:pt idx="11">
                        <c:v>2.8961000000000001</c:v>
                      </c:pt>
                      <c:pt idx="12">
                        <c:v>2.4552999999999998</c:v>
                      </c:pt>
                      <c:pt idx="13">
                        <c:v>2.4592000000000001</c:v>
                      </c:pt>
                      <c:pt idx="14">
                        <c:v>2.4790000000000001</c:v>
                      </c:pt>
                      <c:pt idx="15">
                        <c:v>2.3077000000000001</c:v>
                      </c:pt>
                      <c:pt idx="16">
                        <c:v>2.5253999999999999</c:v>
                      </c:pt>
                      <c:pt idx="17">
                        <c:v>2.5001000000000002</c:v>
                      </c:pt>
                      <c:pt idx="18">
                        <c:v>2.5442999999999998</c:v>
                      </c:pt>
                      <c:pt idx="19">
                        <c:v>2.37</c:v>
                      </c:pt>
                      <c:pt idx="20">
                        <c:v>2.8149999999999999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28EC-4138-B9EE-03484E01115A}"/>
                  </c:ext>
                </c:extLst>
              </c15:ser>
            </c15:filteredScatterSeries>
          </c:ext>
        </c:extLst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3650514941250457"/>
              <c:y val="0.89257008100769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At val="0"/>
        <c:crossBetween val="midCat"/>
      </c:valAx>
      <c:valAx>
        <c:axId val="1231545280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4481169341024649"/>
              <c:y val="0.41476460150904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3.1047952459132597E-2"/>
          <c:y val="4.3693361224015487E-2"/>
          <c:w val="0.13979435026616691"/>
          <c:h val="0.7290447441370044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034607233102114"/>
          <c:y val="0.12039579559597302"/>
          <c:w val="0.71376497936745364"/>
          <c:h val="0.76347189872231636"/>
        </c:manualLayout>
      </c:layout>
      <c:scatterChart>
        <c:scatterStyle val="lineMarker"/>
        <c:varyColors val="0"/>
        <c:ser>
          <c:idx val="2"/>
          <c:order val="1"/>
          <c:tx>
            <c:strRef>
              <c:f>'Run 2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(Alex)'!$H$23:$H$43</c:f>
              <c:numCache>
                <c:formatCode>General</c:formatCode>
                <c:ptCount val="21"/>
                <c:pt idx="0">
                  <c:v>0.32243713733075435</c:v>
                </c:pt>
                <c:pt idx="1">
                  <c:v>0.3680851063829787</c:v>
                </c:pt>
                <c:pt idx="2">
                  <c:v>0.44468085106382971</c:v>
                </c:pt>
                <c:pt idx="3">
                  <c:v>0.51702127659574471</c:v>
                </c:pt>
                <c:pt idx="4">
                  <c:v>0.57214700193423595</c:v>
                </c:pt>
                <c:pt idx="5">
                  <c:v>0.62901353965183759</c:v>
                </c:pt>
                <c:pt idx="6">
                  <c:v>0.67698259187620891</c:v>
                </c:pt>
                <c:pt idx="7">
                  <c:v>0.71218568665377169</c:v>
                </c:pt>
                <c:pt idx="8">
                  <c:v>0.74584139264990335</c:v>
                </c:pt>
                <c:pt idx="9">
                  <c:v>0.77466150870406181</c:v>
                </c:pt>
                <c:pt idx="10">
                  <c:v>0.80096711798839448</c:v>
                </c:pt>
                <c:pt idx="11">
                  <c:v>0.83675048355899406</c:v>
                </c:pt>
                <c:pt idx="12">
                  <c:v>0.87872340425531914</c:v>
                </c:pt>
                <c:pt idx="13">
                  <c:v>0.9257253384912959</c:v>
                </c:pt>
                <c:pt idx="14">
                  <c:v>0.98529980657640226</c:v>
                </c:pt>
                <c:pt idx="15">
                  <c:v>1.0499032882011605</c:v>
                </c:pt>
                <c:pt idx="16">
                  <c:v>1.1216634429400387</c:v>
                </c:pt>
                <c:pt idx="17">
                  <c:v>1.2114119922630562</c:v>
                </c:pt>
                <c:pt idx="18">
                  <c:v>1.4011605415860733</c:v>
                </c:pt>
                <c:pt idx="19">
                  <c:v>1.7410058027079303</c:v>
                </c:pt>
                <c:pt idx="20">
                  <c:v>2.4562862669245646</c:v>
                </c:pt>
              </c:numCache>
            </c:numRef>
          </c:xVal>
          <c:yVal>
            <c:numRef>
              <c:f>'Run 2 (Alex)'!$F$23:$F$43</c:f>
              <c:numCache>
                <c:formatCode>General</c:formatCode>
                <c:ptCount val="21"/>
                <c:pt idx="0">
                  <c:v>4.0388000000000002</c:v>
                </c:pt>
                <c:pt idx="1">
                  <c:v>4.0224000000000002</c:v>
                </c:pt>
                <c:pt idx="2">
                  <c:v>4.5716999999999999</c:v>
                </c:pt>
                <c:pt idx="3">
                  <c:v>3.9218999999999999</c:v>
                </c:pt>
                <c:pt idx="4">
                  <c:v>3.8996</c:v>
                </c:pt>
                <c:pt idx="5">
                  <c:v>3.9420000000000002</c:v>
                </c:pt>
                <c:pt idx="6">
                  <c:v>3.9470999999999998</c:v>
                </c:pt>
                <c:pt idx="7">
                  <c:v>3.9531999999999998</c:v>
                </c:pt>
                <c:pt idx="8">
                  <c:v>4.0057999999999998</c:v>
                </c:pt>
                <c:pt idx="9">
                  <c:v>4.3010000000000002</c:v>
                </c:pt>
                <c:pt idx="10">
                  <c:v>4.4173999999999998</c:v>
                </c:pt>
                <c:pt idx="11">
                  <c:v>4.0209000000000001</c:v>
                </c:pt>
                <c:pt idx="12">
                  <c:v>3.9876</c:v>
                </c:pt>
                <c:pt idx="13">
                  <c:v>4.0274999999999999</c:v>
                </c:pt>
                <c:pt idx="14">
                  <c:v>3.9933999999999998</c:v>
                </c:pt>
                <c:pt idx="15">
                  <c:v>4.0244999999999997</c:v>
                </c:pt>
                <c:pt idx="16">
                  <c:v>3.9948999999999999</c:v>
                </c:pt>
                <c:pt idx="17">
                  <c:v>4.0159000000000002</c:v>
                </c:pt>
                <c:pt idx="18">
                  <c:v>4.4687999999999999</c:v>
                </c:pt>
                <c:pt idx="19">
                  <c:v>4.0717999999999996</c:v>
                </c:pt>
                <c:pt idx="20">
                  <c:v>4.2516999999999996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2-4CF3-BAFD-7CF571328098}"/>
            </c:ext>
          </c:extLst>
        </c:ser>
        <c:ser>
          <c:idx val="3"/>
          <c:order val="2"/>
          <c:tx>
            <c:strRef>
              <c:f>'Run 2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(Alex)'!$H$44:$H$64</c:f>
              <c:numCache>
                <c:formatCode>General</c:formatCode>
                <c:ptCount val="21"/>
                <c:pt idx="0">
                  <c:v>1.7011660206211452E-2</c:v>
                </c:pt>
                <c:pt idx="1">
                  <c:v>2.1970778864110731E-2</c:v>
                </c:pt>
                <c:pt idx="2">
                  <c:v>3.1658846115618609E-2</c:v>
                </c:pt>
                <c:pt idx="3">
                  <c:v>3.9924043878784066E-2</c:v>
                </c:pt>
                <c:pt idx="4">
                  <c:v>4.7310410487385109E-2</c:v>
                </c:pt>
                <c:pt idx="5">
                  <c:v>5.3995804627464519E-2</c:v>
                </c:pt>
                <c:pt idx="6">
                  <c:v>6.0011613125971024E-2</c:v>
                </c:pt>
                <c:pt idx="7">
                  <c:v>6.5849562938434733E-2</c:v>
                </c:pt>
                <c:pt idx="8">
                  <c:v>7.0479119913372343E-2</c:v>
                </c:pt>
                <c:pt idx="9">
                  <c:v>7.5668408635562318E-2</c:v>
                </c:pt>
                <c:pt idx="10">
                  <c:v>8.0015484167961379E-2</c:v>
                </c:pt>
                <c:pt idx="11">
                  <c:v>8.4613654315950262E-2</c:v>
                </c:pt>
                <c:pt idx="12">
                  <c:v>9.0388830474516499E-2</c:v>
                </c:pt>
                <c:pt idx="13">
                  <c:v>9.742994198668152E-2</c:v>
                </c:pt>
                <c:pt idx="14">
                  <c:v>0.10603516370845821</c:v>
                </c:pt>
                <c:pt idx="15">
                  <c:v>0.11573892437344047</c:v>
                </c:pt>
                <c:pt idx="16">
                  <c:v>0.13094061089227518</c:v>
                </c:pt>
                <c:pt idx="17">
                  <c:v>0.15172915260798375</c:v>
                </c:pt>
                <c:pt idx="18">
                  <c:v>0.18825818803848024</c:v>
                </c:pt>
                <c:pt idx="19">
                  <c:v>0.26476880986383344</c:v>
                </c:pt>
                <c:pt idx="20">
                  <c:v>0.44247056177189098</c:v>
                </c:pt>
              </c:numCache>
            </c:numRef>
          </c:xVal>
          <c:yVal>
            <c:numRef>
              <c:f>'Run 2 (Alex)'!$F$44:$F$64</c:f>
              <c:numCache>
                <c:formatCode>General</c:formatCode>
                <c:ptCount val="21"/>
                <c:pt idx="0">
                  <c:v>7.8098000000000001</c:v>
                </c:pt>
                <c:pt idx="1">
                  <c:v>7.8403999999999998</c:v>
                </c:pt>
                <c:pt idx="2">
                  <c:v>8.0931999999999995</c:v>
                </c:pt>
                <c:pt idx="3">
                  <c:v>8.2835000000000001</c:v>
                </c:pt>
                <c:pt idx="4">
                  <c:v>8.0076999999999998</c:v>
                </c:pt>
                <c:pt idx="5">
                  <c:v>8.0284999999999993</c:v>
                </c:pt>
                <c:pt idx="6">
                  <c:v>8.0879999999999992</c:v>
                </c:pt>
                <c:pt idx="7">
                  <c:v>8.4736999999999991</c:v>
                </c:pt>
                <c:pt idx="8">
                  <c:v>8.1623000000000001</c:v>
                </c:pt>
                <c:pt idx="9">
                  <c:v>8.3300999999999998</c:v>
                </c:pt>
                <c:pt idx="10">
                  <c:v>8.2287999999999997</c:v>
                </c:pt>
                <c:pt idx="11">
                  <c:v>8.2332999999999998</c:v>
                </c:pt>
                <c:pt idx="12">
                  <c:v>8.2556999999999992</c:v>
                </c:pt>
                <c:pt idx="13">
                  <c:v>8.2940000000000005</c:v>
                </c:pt>
                <c:pt idx="14">
                  <c:v>8.3571000000000009</c:v>
                </c:pt>
                <c:pt idx="15">
                  <c:v>8.4266000000000005</c:v>
                </c:pt>
                <c:pt idx="16">
                  <c:v>8.6485000000000003</c:v>
                </c:pt>
                <c:pt idx="17">
                  <c:v>8.5966000000000005</c:v>
                </c:pt>
                <c:pt idx="18">
                  <c:v>8.7987000000000002</c:v>
                </c:pt>
                <c:pt idx="19">
                  <c:v>9.5649999999999995</c:v>
                </c:pt>
                <c:pt idx="20">
                  <c:v>10.620100000000001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2-4CF3-BAFD-7CF571328098}"/>
            </c:ext>
          </c:extLst>
        </c:ser>
        <c:ser>
          <c:idx val="4"/>
          <c:order val="3"/>
          <c:tx>
            <c:strRef>
              <c:f>'Run 2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(Alex)'!$H$65:$H$85</c:f>
              <c:numCache>
                <c:formatCode>General</c:formatCode>
                <c:ptCount val="21"/>
                <c:pt idx="0">
                  <c:v>7.2224517859683117E-3</c:v>
                </c:pt>
                <c:pt idx="1">
                  <c:v>9.1428842389058625E-3</c:v>
                </c:pt>
                <c:pt idx="2">
                  <c:v>1.3075875710424529E-2</c:v>
                </c:pt>
                <c:pt idx="3">
                  <c:v>1.6215630355703382E-2</c:v>
                </c:pt>
                <c:pt idx="4">
                  <c:v>1.8997039756677485E-2</c:v>
                </c:pt>
                <c:pt idx="5">
                  <c:v>2.1689709598097857E-2</c:v>
                </c:pt>
                <c:pt idx="6">
                  <c:v>2.4021324590341616E-2</c:v>
                </c:pt>
                <c:pt idx="7">
                  <c:v>2.7847964070639403E-2</c:v>
                </c:pt>
                <c:pt idx="8">
                  <c:v>2.9210217919971821E-2</c:v>
                </c:pt>
                <c:pt idx="9">
                  <c:v>3.0537924307187905E-2</c:v>
                </c:pt>
                <c:pt idx="10">
                  <c:v>3.1868340299275856E-2</c:v>
                </c:pt>
                <c:pt idx="11">
                  <c:v>3.3536102097911573E-2</c:v>
                </c:pt>
                <c:pt idx="12">
                  <c:v>4.4326426098914129E-2</c:v>
                </c:pt>
                <c:pt idx="13">
                  <c:v>5.2394952006123714E-2</c:v>
                </c:pt>
                <c:pt idx="14">
                  <c:v>5.5403968216334858E-2</c:v>
                </c:pt>
                <c:pt idx="15">
                  <c:v>5.8880391266943506E-2</c:v>
                </c:pt>
                <c:pt idx="16">
                  <c:v>6.2786964090961433E-2</c:v>
                </c:pt>
                <c:pt idx="17">
                  <c:v>6.8146562527519425E-2</c:v>
                </c:pt>
                <c:pt idx="18">
                  <c:v>8.6739871158288351E-2</c:v>
                </c:pt>
                <c:pt idx="19">
                  <c:v>0.11595550828800391</c:v>
                </c:pt>
                <c:pt idx="20">
                  <c:v>0.17885424357992999</c:v>
                </c:pt>
              </c:numCache>
            </c:numRef>
          </c:xVal>
          <c:yVal>
            <c:numRef>
              <c:f>'Run 2 (Alex)'!$F$65:$F$85</c:f>
              <c:numCache>
                <c:formatCode>General</c:formatCode>
                <c:ptCount val="21"/>
                <c:pt idx="0">
                  <c:v>30.802199999999999</c:v>
                </c:pt>
                <c:pt idx="1">
                  <c:v>30.8644</c:v>
                </c:pt>
                <c:pt idx="2">
                  <c:v>31.250599999999999</c:v>
                </c:pt>
                <c:pt idx="3">
                  <c:v>31.272400000000001</c:v>
                </c:pt>
                <c:pt idx="4">
                  <c:v>31.616099999999999</c:v>
                </c:pt>
                <c:pt idx="5">
                  <c:v>31.6783</c:v>
                </c:pt>
                <c:pt idx="6">
                  <c:v>31.9907</c:v>
                </c:pt>
                <c:pt idx="7">
                  <c:v>31.8522</c:v>
                </c:pt>
                <c:pt idx="8">
                  <c:v>32.120699999999999</c:v>
                </c:pt>
                <c:pt idx="9">
                  <c:v>32.093400000000003</c:v>
                </c:pt>
                <c:pt idx="10">
                  <c:v>32.279299999999999</c:v>
                </c:pt>
                <c:pt idx="11">
                  <c:v>32.17</c:v>
                </c:pt>
                <c:pt idx="12">
                  <c:v>32.809699999999999</c:v>
                </c:pt>
                <c:pt idx="13">
                  <c:v>33.177199999999999</c:v>
                </c:pt>
                <c:pt idx="14">
                  <c:v>33.471699999999998</c:v>
                </c:pt>
                <c:pt idx="15">
                  <c:v>33.603999999999999</c:v>
                </c:pt>
                <c:pt idx="16">
                  <c:v>33.498399999999997</c:v>
                </c:pt>
                <c:pt idx="17">
                  <c:v>34.1571</c:v>
                </c:pt>
                <c:pt idx="18">
                  <c:v>34.042200000000001</c:v>
                </c:pt>
                <c:pt idx="19">
                  <c:v>34.360900000000001</c:v>
                </c:pt>
                <c:pt idx="20">
                  <c:v>37.623399999999997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E2-4CF3-BAFD-7CF571328098}"/>
            </c:ext>
          </c:extLst>
        </c:ser>
        <c:ser>
          <c:idx val="5"/>
          <c:order val="4"/>
          <c:tx>
            <c:strRef>
              <c:f>'Run 2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(Alex)'!$H$86:$H$106</c:f>
              <c:numCache>
                <c:formatCode>General</c:formatCode>
                <c:ptCount val="21"/>
                <c:pt idx="0">
                  <c:v>6.0857725422190315E-3</c:v>
                </c:pt>
                <c:pt idx="1">
                  <c:v>6.3377657953029003E-3</c:v>
                </c:pt>
                <c:pt idx="2">
                  <c:v>6.8573325294838889E-3</c:v>
                </c:pt>
                <c:pt idx="3">
                  <c:v>7.4229625464866588E-3</c:v>
                </c:pt>
                <c:pt idx="4">
                  <c:v>8.0983315608001462E-3</c:v>
                </c:pt>
                <c:pt idx="5">
                  <c:v>8.8644723383212651E-3</c:v>
                </c:pt>
                <c:pt idx="6">
                  <c:v>1.0232145397397426E-2</c:v>
                </c:pt>
                <c:pt idx="7">
                  <c:v>1.2558341179897441E-2</c:v>
                </c:pt>
                <c:pt idx="8">
                  <c:v>1.3028457625166811E-2</c:v>
                </c:pt>
                <c:pt idx="9">
                  <c:v>1.3431511349857407E-2</c:v>
                </c:pt>
                <c:pt idx="10">
                  <c:v>1.3836597278201907E-2</c:v>
                </c:pt>
                <c:pt idx="11">
                  <c:v>1.4802571415023405E-2</c:v>
                </c:pt>
                <c:pt idx="12">
                  <c:v>2.8765842720985212E-2</c:v>
                </c:pt>
                <c:pt idx="13">
                  <c:v>3.5459921556938966E-2</c:v>
                </c:pt>
                <c:pt idx="14">
                  <c:v>3.6639954478638152E-2</c:v>
                </c:pt>
                <c:pt idx="15">
                  <c:v>3.8590192585166265E-2</c:v>
                </c:pt>
                <c:pt idx="16">
                  <c:v>4.0190214262005239E-2</c:v>
                </c:pt>
                <c:pt idx="17">
                  <c:v>4.2638342263739394E-2</c:v>
                </c:pt>
                <c:pt idx="18">
                  <c:v>5.7173340197665679E-2</c:v>
                </c:pt>
                <c:pt idx="19">
                  <c:v>7.7460151873353075E-2</c:v>
                </c:pt>
                <c:pt idx="20">
                  <c:v>0.12214560061778992</c:v>
                </c:pt>
              </c:numCache>
            </c:numRef>
          </c:xVal>
          <c:yVal>
            <c:numRef>
              <c:f>'Run 2 (Alex)'!$F$86:$F$106</c:f>
              <c:numCache>
                <c:formatCode>General</c:formatCode>
                <c:ptCount val="21"/>
                <c:pt idx="0">
                  <c:v>30.718499999999999</c:v>
                </c:pt>
                <c:pt idx="1">
                  <c:v>30.7957</c:v>
                </c:pt>
                <c:pt idx="2">
                  <c:v>30.8474</c:v>
                </c:pt>
                <c:pt idx="3">
                  <c:v>31.112100000000002</c:v>
                </c:pt>
                <c:pt idx="4">
                  <c:v>31.0642</c:v>
                </c:pt>
                <c:pt idx="5">
                  <c:v>31.008500000000002</c:v>
                </c:pt>
                <c:pt idx="6">
                  <c:v>30.995200000000001</c:v>
                </c:pt>
                <c:pt idx="7">
                  <c:v>31.195599999999999</c:v>
                </c:pt>
                <c:pt idx="8">
                  <c:v>31.1447</c:v>
                </c:pt>
                <c:pt idx="9">
                  <c:v>31.1813</c:v>
                </c:pt>
                <c:pt idx="10">
                  <c:v>31.181999999999999</c:v>
                </c:pt>
                <c:pt idx="11">
                  <c:v>31.254799999999999</c:v>
                </c:pt>
                <c:pt idx="12">
                  <c:v>32.187399999999997</c:v>
                </c:pt>
                <c:pt idx="13">
                  <c:v>32.413600000000002</c:v>
                </c:pt>
                <c:pt idx="14">
                  <c:v>32.639699999999998</c:v>
                </c:pt>
                <c:pt idx="15">
                  <c:v>32.444800000000001</c:v>
                </c:pt>
                <c:pt idx="16">
                  <c:v>32.733499999999999</c:v>
                </c:pt>
                <c:pt idx="17">
                  <c:v>32.623699999999999</c:v>
                </c:pt>
                <c:pt idx="18">
                  <c:v>33.039700000000003</c:v>
                </c:pt>
                <c:pt idx="19">
                  <c:v>33.190899999999999</c:v>
                </c:pt>
                <c:pt idx="20">
                  <c:v>35.4377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E2-4CF3-BAFD-7CF571328098}"/>
            </c:ext>
          </c:extLst>
        </c:ser>
        <c:ser>
          <c:idx val="0"/>
          <c:order val="5"/>
          <c:tx>
            <c:strRef>
              <c:f>'Run 2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(Alex)'!$H$107:$H$127</c:f>
              <c:numCache>
                <c:formatCode>General</c:formatCode>
                <c:ptCount val="21"/>
                <c:pt idx="0">
                  <c:v>2.0820252655900744E-2</c:v>
                </c:pt>
                <c:pt idx="1">
                  <c:v>2.4286108948439109E-2</c:v>
                </c:pt>
                <c:pt idx="2">
                  <c:v>3.5336665243488961E-2</c:v>
                </c:pt>
                <c:pt idx="3">
                  <c:v>4.503101690232815E-2</c:v>
                </c:pt>
                <c:pt idx="4">
                  <c:v>5.4775598362508469E-2</c:v>
                </c:pt>
                <c:pt idx="5">
                  <c:v>6.3339779491172102E-2</c:v>
                </c:pt>
                <c:pt idx="6">
                  <c:v>7.1125398699048145E-2</c:v>
                </c:pt>
                <c:pt idx="7">
                  <c:v>7.8509179496195097E-2</c:v>
                </c:pt>
                <c:pt idx="8">
                  <c:v>8.4360951352437402E-2</c:v>
                </c:pt>
                <c:pt idx="9">
                  <c:v>9.1242434136172987E-2</c:v>
                </c:pt>
                <c:pt idx="10">
                  <c:v>9.7295125197779844E-2</c:v>
                </c:pt>
                <c:pt idx="11">
                  <c:v>0.10332270135871613</c:v>
                </c:pt>
                <c:pt idx="12">
                  <c:v>0.11085717155988647</c:v>
                </c:pt>
                <c:pt idx="13">
                  <c:v>0.12037571891403169</c:v>
                </c:pt>
                <c:pt idx="14">
                  <c:v>0.1309239771956702</c:v>
                </c:pt>
                <c:pt idx="15">
                  <c:v>0.14338096792827185</c:v>
                </c:pt>
                <c:pt idx="16">
                  <c:v>0.16259386694125622</c:v>
                </c:pt>
                <c:pt idx="17">
                  <c:v>0.18838686992992942</c:v>
                </c:pt>
                <c:pt idx="18">
                  <c:v>0.23183564809001181</c:v>
                </c:pt>
                <c:pt idx="19">
                  <c:v>0.3210940050732099</c:v>
                </c:pt>
                <c:pt idx="20">
                  <c:v>0.53632870381997644</c:v>
                </c:pt>
              </c:numCache>
            </c:numRef>
          </c:xVal>
          <c:yVal>
            <c:numRef>
              <c:f>'Run 2 (Alex)'!$F$107:$F$127</c:f>
              <c:numCache>
                <c:formatCode>General</c:formatCode>
                <c:ptCount val="21"/>
                <c:pt idx="0">
                  <c:v>1.9756</c:v>
                </c:pt>
                <c:pt idx="1">
                  <c:v>1.9911000000000001</c:v>
                </c:pt>
                <c:pt idx="2">
                  <c:v>2.0276999999999998</c:v>
                </c:pt>
                <c:pt idx="3">
                  <c:v>2.0207999999999999</c:v>
                </c:pt>
                <c:pt idx="4">
                  <c:v>2.0268000000000002</c:v>
                </c:pt>
                <c:pt idx="5">
                  <c:v>2.3429000000000002</c:v>
                </c:pt>
                <c:pt idx="6">
                  <c:v>2.2111000000000001</c:v>
                </c:pt>
                <c:pt idx="7">
                  <c:v>2.0577000000000001</c:v>
                </c:pt>
                <c:pt idx="8">
                  <c:v>2.0526</c:v>
                </c:pt>
                <c:pt idx="9">
                  <c:v>2.0689000000000002</c:v>
                </c:pt>
                <c:pt idx="10">
                  <c:v>2.1078999999999999</c:v>
                </c:pt>
                <c:pt idx="11">
                  <c:v>2.0907</c:v>
                </c:pt>
                <c:pt idx="12">
                  <c:v>2.0817000000000001</c:v>
                </c:pt>
                <c:pt idx="13">
                  <c:v>2.0762999999999998</c:v>
                </c:pt>
                <c:pt idx="14">
                  <c:v>2.0844999999999998</c:v>
                </c:pt>
                <c:pt idx="15">
                  <c:v>2.12</c:v>
                </c:pt>
                <c:pt idx="16">
                  <c:v>2.2288999999999999</c:v>
                </c:pt>
                <c:pt idx="17">
                  <c:v>2.1877</c:v>
                </c:pt>
                <c:pt idx="18">
                  <c:v>2.2456</c:v>
                </c:pt>
                <c:pt idx="19">
                  <c:v>2.3290999999999999</c:v>
                </c:pt>
                <c:pt idx="20">
                  <c:v>2.5312999999999999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E2-4CF3-BAFD-7CF571328098}"/>
            </c:ext>
          </c:extLst>
        </c:ser>
        <c:ser>
          <c:idx val="6"/>
          <c:order val="6"/>
          <c:tx>
            <c:strRef>
              <c:f>'Run 2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(Alex)'!$H$128:$H$148</c:f>
              <c:numCache>
                <c:formatCode>General</c:formatCode>
                <c:ptCount val="21"/>
                <c:pt idx="0">
                  <c:v>0.14460476787954832</c:v>
                </c:pt>
                <c:pt idx="1">
                  <c:v>0.17356754496026769</c:v>
                </c:pt>
                <c:pt idx="2">
                  <c:v>0.23170221664575491</c:v>
                </c:pt>
                <c:pt idx="3">
                  <c:v>0.27959012965286489</c:v>
                </c:pt>
                <c:pt idx="4">
                  <c:v>0.32664157256378085</c:v>
                </c:pt>
                <c:pt idx="5">
                  <c:v>0.36679213718109577</c:v>
                </c:pt>
                <c:pt idx="6">
                  <c:v>0.40380593893768296</c:v>
                </c:pt>
                <c:pt idx="7">
                  <c:v>0.45493517356754493</c:v>
                </c:pt>
                <c:pt idx="8">
                  <c:v>0.47490589711417819</c:v>
                </c:pt>
                <c:pt idx="9">
                  <c:v>0.49424926808866587</c:v>
                </c:pt>
                <c:pt idx="10">
                  <c:v>0.51348808030112925</c:v>
                </c:pt>
                <c:pt idx="11">
                  <c:v>0.53659556670849018</c:v>
                </c:pt>
                <c:pt idx="12">
                  <c:v>0.63644918444165621</c:v>
                </c:pt>
                <c:pt idx="13">
                  <c:v>0.71570472605604352</c:v>
                </c:pt>
                <c:pt idx="14">
                  <c:v>0.75658720200752827</c:v>
                </c:pt>
                <c:pt idx="15">
                  <c:v>0.80332496863237135</c:v>
                </c:pt>
                <c:pt idx="16">
                  <c:v>0.86417816813048942</c:v>
                </c:pt>
                <c:pt idx="17">
                  <c:v>0.94866164784608953</c:v>
                </c:pt>
                <c:pt idx="18">
                  <c:v>1.1849644500209118</c:v>
                </c:pt>
                <c:pt idx="19">
                  <c:v>1.5707862818904224</c:v>
                </c:pt>
                <c:pt idx="20">
                  <c:v>2.4252404851526554</c:v>
                </c:pt>
              </c:numCache>
            </c:numRef>
          </c:xVal>
          <c:yVal>
            <c:numRef>
              <c:f>'Run 2 (Alex)'!$F$128:$F$148</c:f>
              <c:numCache>
                <c:formatCode>General</c:formatCode>
                <c:ptCount val="21"/>
                <c:pt idx="0">
                  <c:v>4.1940999999999997</c:v>
                </c:pt>
                <c:pt idx="1">
                  <c:v>3.9201999999999999</c:v>
                </c:pt>
                <c:pt idx="2">
                  <c:v>3.9239000000000002</c:v>
                </c:pt>
                <c:pt idx="3">
                  <c:v>3.9845000000000002</c:v>
                </c:pt>
                <c:pt idx="4">
                  <c:v>3.9908999999999999</c:v>
                </c:pt>
                <c:pt idx="5">
                  <c:v>4.5716999999999999</c:v>
                </c:pt>
                <c:pt idx="6">
                  <c:v>3.9706999999999999</c:v>
                </c:pt>
                <c:pt idx="7">
                  <c:v>4.0095000000000001</c:v>
                </c:pt>
                <c:pt idx="8">
                  <c:v>4.3353999999999999</c:v>
                </c:pt>
                <c:pt idx="9">
                  <c:v>4.0663</c:v>
                </c:pt>
                <c:pt idx="10">
                  <c:v>3.9643000000000002</c:v>
                </c:pt>
                <c:pt idx="11">
                  <c:v>3.9841000000000002</c:v>
                </c:pt>
                <c:pt idx="12">
                  <c:v>4.0090000000000003</c:v>
                </c:pt>
                <c:pt idx="13">
                  <c:v>4.0555000000000003</c:v>
                </c:pt>
                <c:pt idx="14">
                  <c:v>4.0721999999999996</c:v>
                </c:pt>
                <c:pt idx="15">
                  <c:v>4.1508000000000003</c:v>
                </c:pt>
                <c:pt idx="16">
                  <c:v>4.5815000000000001</c:v>
                </c:pt>
                <c:pt idx="17">
                  <c:v>4.1196999999999999</c:v>
                </c:pt>
                <c:pt idx="18">
                  <c:v>4.0918999999999999</c:v>
                </c:pt>
                <c:pt idx="19">
                  <c:v>4.3285999999999998</c:v>
                </c:pt>
                <c:pt idx="20">
                  <c:v>4.4405000000000001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E2-4CF3-BAFD-7CF571328098}"/>
            </c:ext>
          </c:extLst>
        </c:ser>
        <c:ser>
          <c:idx val="7"/>
          <c:order val="7"/>
          <c:tx>
            <c:strRef>
              <c:f>'Run 2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(Alex)'!$H$149:$H$169</c:f>
              <c:numCache>
                <c:formatCode>General</c:formatCode>
                <c:ptCount val="21"/>
                <c:pt idx="0">
                  <c:v>2.1171311238111577E-2</c:v>
                </c:pt>
                <c:pt idx="1">
                  <c:v>2.6768386176726031E-2</c:v>
                </c:pt>
                <c:pt idx="2">
                  <c:v>3.8359263587918038E-2</c:v>
                </c:pt>
                <c:pt idx="3">
                  <c:v>4.8625928824935938E-2</c:v>
                </c:pt>
                <c:pt idx="4">
                  <c:v>5.7734578557412909E-2</c:v>
                </c:pt>
                <c:pt idx="5">
                  <c:v>6.6398250109904244E-2</c:v>
                </c:pt>
                <c:pt idx="6">
                  <c:v>7.4338161972057518E-2</c:v>
                </c:pt>
                <c:pt idx="7">
                  <c:v>8.1489979949175992E-2</c:v>
                </c:pt>
                <c:pt idx="8">
                  <c:v>8.6663521439370381E-2</c:v>
                </c:pt>
                <c:pt idx="9">
                  <c:v>9.2153372720156973E-2</c:v>
                </c:pt>
                <c:pt idx="10">
                  <c:v>9.6892658396148523E-2</c:v>
                </c:pt>
                <c:pt idx="11">
                  <c:v>0.10183030783912163</c:v>
                </c:pt>
                <c:pt idx="12">
                  <c:v>0.10802783526157211</c:v>
                </c:pt>
                <c:pt idx="13">
                  <c:v>0.11554957485819671</c:v>
                </c:pt>
                <c:pt idx="14">
                  <c:v>0.12385404715696471</c:v>
                </c:pt>
                <c:pt idx="15">
                  <c:v>0.133498815178581</c:v>
                </c:pt>
                <c:pt idx="16">
                  <c:v>0.14744861306198598</c:v>
                </c:pt>
                <c:pt idx="17">
                  <c:v>0.16653442415534564</c:v>
                </c:pt>
                <c:pt idx="18">
                  <c:v>0.20278138168405477</c:v>
                </c:pt>
                <c:pt idx="19">
                  <c:v>0.27877614916955279</c:v>
                </c:pt>
                <c:pt idx="20">
                  <c:v>0.47332275393242768</c:v>
                </c:pt>
              </c:numCache>
            </c:numRef>
          </c:xVal>
          <c:yVal>
            <c:numRef>
              <c:f>'Run 2 (Alex)'!$F$149:$F$169</c:f>
              <c:numCache>
                <c:formatCode>General</c:formatCode>
                <c:ptCount val="21"/>
                <c:pt idx="0">
                  <c:v>8.0558999999999994</c:v>
                </c:pt>
                <c:pt idx="1">
                  <c:v>7.9348000000000001</c:v>
                </c:pt>
                <c:pt idx="2">
                  <c:v>7.9945000000000004</c:v>
                </c:pt>
                <c:pt idx="3">
                  <c:v>8.0657999999999994</c:v>
                </c:pt>
                <c:pt idx="4">
                  <c:v>8.1698000000000004</c:v>
                </c:pt>
                <c:pt idx="5">
                  <c:v>8.2027999999999999</c:v>
                </c:pt>
                <c:pt idx="6">
                  <c:v>8.7658000000000005</c:v>
                </c:pt>
                <c:pt idx="7">
                  <c:v>8.4253</c:v>
                </c:pt>
                <c:pt idx="8">
                  <c:v>8.2786000000000008</c:v>
                </c:pt>
                <c:pt idx="9">
                  <c:v>8.3722999999999992</c:v>
                </c:pt>
                <c:pt idx="10">
                  <c:v>8.7798999999999996</c:v>
                </c:pt>
                <c:pt idx="11">
                  <c:v>8.3902000000000001</c:v>
                </c:pt>
                <c:pt idx="12">
                  <c:v>8.4873999999999992</c:v>
                </c:pt>
                <c:pt idx="13">
                  <c:v>8.4343000000000004</c:v>
                </c:pt>
                <c:pt idx="14">
                  <c:v>9.0212000000000003</c:v>
                </c:pt>
                <c:pt idx="15">
                  <c:v>8.4916</c:v>
                </c:pt>
                <c:pt idx="16">
                  <c:v>8.6187000000000005</c:v>
                </c:pt>
                <c:pt idx="17">
                  <c:v>8.6438000000000006</c:v>
                </c:pt>
                <c:pt idx="18">
                  <c:v>9.0250000000000004</c:v>
                </c:pt>
                <c:pt idx="19">
                  <c:v>9.09</c:v>
                </c:pt>
                <c:pt idx="20">
                  <c:v>10.3881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E2-4CF3-BAFD-7CF571328098}"/>
            </c:ext>
          </c:extLst>
        </c:ser>
        <c:ser>
          <c:idx val="8"/>
          <c:order val="8"/>
          <c:tx>
            <c:strRef>
              <c:f>'Run 2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(Alex)'!$H$170:$H$190</c:f>
              <c:numCache>
                <c:formatCode>General</c:formatCode>
                <c:ptCount val="21"/>
                <c:pt idx="0">
                  <c:v>1.8715452173181067E-2</c:v>
                </c:pt>
                <c:pt idx="1">
                  <c:v>2.4271163612895982E-2</c:v>
                </c:pt>
                <c:pt idx="2">
                  <c:v>3.4400516288335813E-2</c:v>
                </c:pt>
                <c:pt idx="3">
                  <c:v>4.3356061243768527E-2</c:v>
                </c:pt>
                <c:pt idx="4">
                  <c:v>5.1147151528755951E-2</c:v>
                </c:pt>
                <c:pt idx="5">
                  <c:v>5.8475265860433792E-2</c:v>
                </c:pt>
                <c:pt idx="6">
                  <c:v>6.5513435655695534E-2</c:v>
                </c:pt>
                <c:pt idx="7">
                  <c:v>7.2140071270237652E-2</c:v>
                </c:pt>
                <c:pt idx="8">
                  <c:v>7.7910902849874189E-2</c:v>
                </c:pt>
                <c:pt idx="9">
                  <c:v>8.3892178044651447E-2</c:v>
                </c:pt>
                <c:pt idx="10">
                  <c:v>8.9157944947950277E-2</c:v>
                </c:pt>
                <c:pt idx="11">
                  <c:v>9.4657538090294327E-2</c:v>
                </c:pt>
                <c:pt idx="12">
                  <c:v>0.10151332341910078</c:v>
                </c:pt>
                <c:pt idx="13">
                  <c:v>0.11002927504512845</c:v>
                </c:pt>
                <c:pt idx="14">
                  <c:v>0.12003703807626476</c:v>
                </c:pt>
                <c:pt idx="15">
                  <c:v>0.13157402471075694</c:v>
                </c:pt>
                <c:pt idx="16">
                  <c:v>0.1492232292338917</c:v>
                </c:pt>
                <c:pt idx="17">
                  <c:v>0.17297997512088814</c:v>
                </c:pt>
                <c:pt idx="18">
                  <c:v>0.21454025084878922</c:v>
                </c:pt>
                <c:pt idx="19">
                  <c:v>0.30180887978525395</c:v>
                </c:pt>
                <c:pt idx="20">
                  <c:v>0.52267646866260742</c:v>
                </c:pt>
              </c:numCache>
            </c:numRef>
          </c:xVal>
          <c:yVal>
            <c:numRef>
              <c:f>'Run 2 (Alex)'!$F$170:$F$190</c:f>
              <c:numCache>
                <c:formatCode>General</c:formatCode>
                <c:ptCount val="21"/>
                <c:pt idx="0">
                  <c:v>7.8830999999999998</c:v>
                </c:pt>
                <c:pt idx="1">
                  <c:v>8.0029000000000003</c:v>
                </c:pt>
                <c:pt idx="2">
                  <c:v>8.2408999999999999</c:v>
                </c:pt>
                <c:pt idx="3">
                  <c:v>8.1224000000000007</c:v>
                </c:pt>
                <c:pt idx="4">
                  <c:v>8.1821999999999999</c:v>
                </c:pt>
                <c:pt idx="5">
                  <c:v>8.2056000000000004</c:v>
                </c:pt>
                <c:pt idx="6">
                  <c:v>8.4377999999999993</c:v>
                </c:pt>
                <c:pt idx="7">
                  <c:v>8.3350000000000009</c:v>
                </c:pt>
                <c:pt idx="8">
                  <c:v>8.3870000000000005</c:v>
                </c:pt>
                <c:pt idx="9">
                  <c:v>8.4329000000000001</c:v>
                </c:pt>
                <c:pt idx="10">
                  <c:v>8.4583999999999993</c:v>
                </c:pt>
                <c:pt idx="11">
                  <c:v>8.3859999999999992</c:v>
                </c:pt>
                <c:pt idx="12">
                  <c:v>8.4514999999999993</c:v>
                </c:pt>
                <c:pt idx="13">
                  <c:v>8.9077999999999999</c:v>
                </c:pt>
                <c:pt idx="14">
                  <c:v>8.6202000000000005</c:v>
                </c:pt>
                <c:pt idx="15">
                  <c:v>8.8008000000000006</c:v>
                </c:pt>
                <c:pt idx="16">
                  <c:v>8.7788000000000004</c:v>
                </c:pt>
                <c:pt idx="17">
                  <c:v>8.9602000000000004</c:v>
                </c:pt>
                <c:pt idx="18">
                  <c:v>9.1905000000000001</c:v>
                </c:pt>
                <c:pt idx="19">
                  <c:v>9.5792999999999999</c:v>
                </c:pt>
                <c:pt idx="20">
                  <c:v>11.038600000000001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E2-4CF3-BAFD-7CF571328098}"/>
            </c:ext>
          </c:extLst>
        </c:ser>
        <c:ser>
          <c:idx val="9"/>
          <c:order val="9"/>
          <c:tx>
            <c:strRef>
              <c:f>'Run 2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(Alex)'!$H$191:$H$211</c:f>
              <c:numCache>
                <c:formatCode>General</c:formatCode>
                <c:ptCount val="21"/>
                <c:pt idx="0">
                  <c:v>1.7870102248313226E-2</c:v>
                </c:pt>
                <c:pt idx="1">
                  <c:v>1.915389460926965E-2</c:v>
                </c:pt>
                <c:pt idx="2">
                  <c:v>2.2612469551846287E-2</c:v>
                </c:pt>
                <c:pt idx="3">
                  <c:v>2.6214752594529992E-2</c:v>
                </c:pt>
                <c:pt idx="4">
                  <c:v>2.9793084287195848E-2</c:v>
                </c:pt>
                <c:pt idx="5">
                  <c:v>3.3311537604817094E-2</c:v>
                </c:pt>
                <c:pt idx="6">
                  <c:v>3.6724604982359833E-2</c:v>
                </c:pt>
                <c:pt idx="7">
                  <c:v>4.0005939934804426E-2</c:v>
                </c:pt>
                <c:pt idx="8">
                  <c:v>4.2834594371911776E-2</c:v>
                </c:pt>
                <c:pt idx="9">
                  <c:v>4.6288379044484837E-2</c:v>
                </c:pt>
                <c:pt idx="10">
                  <c:v>4.9160145911624306E-2</c:v>
                </c:pt>
                <c:pt idx="11">
                  <c:v>5.2269031143940423E-2</c:v>
                </c:pt>
                <c:pt idx="12">
                  <c:v>5.6247350381904274E-2</c:v>
                </c:pt>
                <c:pt idx="13">
                  <c:v>6.179687818103867E-2</c:v>
                </c:pt>
                <c:pt idx="14">
                  <c:v>6.8285298900872551E-2</c:v>
                </c:pt>
                <c:pt idx="15">
                  <c:v>7.6110204951702093E-2</c:v>
                </c:pt>
                <c:pt idx="16">
                  <c:v>8.912297341639662E-2</c:v>
                </c:pt>
                <c:pt idx="17">
                  <c:v>0.10764934265519875</c:v>
                </c:pt>
                <c:pt idx="18">
                  <c:v>0.14233808288604186</c:v>
                </c:pt>
                <c:pt idx="19">
                  <c:v>0.21959076723359514</c:v>
                </c:pt>
                <c:pt idx="20">
                  <c:v>0.43044408198068085</c:v>
                </c:pt>
              </c:numCache>
            </c:numRef>
          </c:xVal>
          <c:yVal>
            <c:numRef>
              <c:f>'Run 2 (Alex)'!$F$191:$F$211</c:f>
              <c:numCache>
                <c:formatCode>General</c:formatCode>
                <c:ptCount val="21"/>
                <c:pt idx="0">
                  <c:v>16.5077</c:v>
                </c:pt>
                <c:pt idx="1">
                  <c:v>16.308399999999999</c:v>
                </c:pt>
                <c:pt idx="2">
                  <c:v>16.605499999999999</c:v>
                </c:pt>
                <c:pt idx="3">
                  <c:v>16.383500000000002</c:v>
                </c:pt>
                <c:pt idx="4">
                  <c:v>16.9693</c:v>
                </c:pt>
                <c:pt idx="5">
                  <c:v>16.498999999999999</c:v>
                </c:pt>
                <c:pt idx="6">
                  <c:v>16.840399999999999</c:v>
                </c:pt>
                <c:pt idx="7">
                  <c:v>16.570900000000002</c:v>
                </c:pt>
                <c:pt idx="8">
                  <c:v>16.9328</c:v>
                </c:pt>
                <c:pt idx="9">
                  <c:v>16.7239</c:v>
                </c:pt>
                <c:pt idx="10">
                  <c:v>17.160499999999999</c:v>
                </c:pt>
                <c:pt idx="11">
                  <c:v>16.8962</c:v>
                </c:pt>
                <c:pt idx="12">
                  <c:v>17.1464</c:v>
                </c:pt>
                <c:pt idx="13">
                  <c:v>16.9072</c:v>
                </c:pt>
                <c:pt idx="14">
                  <c:v>17.3004</c:v>
                </c:pt>
                <c:pt idx="15">
                  <c:v>17.2104</c:v>
                </c:pt>
                <c:pt idx="16">
                  <c:v>17.321400000000001</c:v>
                </c:pt>
                <c:pt idx="17">
                  <c:v>17.543800000000001</c:v>
                </c:pt>
                <c:pt idx="18">
                  <c:v>18.363199999999999</c:v>
                </c:pt>
                <c:pt idx="19">
                  <c:v>18.992899999999999</c:v>
                </c:pt>
                <c:pt idx="20">
                  <c:v>22.735900000000001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E2-4CF3-BAFD-7CF571328098}"/>
            </c:ext>
          </c:extLst>
        </c:ser>
        <c:ser>
          <c:idx val="10"/>
          <c:order val="10"/>
          <c:tx>
            <c:strRef>
              <c:f>'Run 2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(Alex)'!$H$212:$H$232</c:f>
              <c:numCache>
                <c:formatCode>General</c:formatCode>
                <c:ptCount val="21"/>
                <c:pt idx="0">
                  <c:v>6.4328648564733734E-2</c:v>
                </c:pt>
                <c:pt idx="1">
                  <c:v>8.6295475163611135E-2</c:v>
                </c:pt>
                <c:pt idx="2">
                  <c:v>0.13541520116043837</c:v>
                </c:pt>
                <c:pt idx="3">
                  <c:v>0.17925667906990284</c:v>
                </c:pt>
                <c:pt idx="4">
                  <c:v>0.21908125494229341</c:v>
                </c:pt>
                <c:pt idx="5">
                  <c:v>0.25773666005268547</c:v>
                </c:pt>
                <c:pt idx="6">
                  <c:v>0.29010959156644628</c:v>
                </c:pt>
                <c:pt idx="7">
                  <c:v>0.3267419916654134</c:v>
                </c:pt>
                <c:pt idx="8">
                  <c:v>0.34988284035725203</c:v>
                </c:pt>
                <c:pt idx="9">
                  <c:v>0.39703777731420614</c:v>
                </c:pt>
                <c:pt idx="10">
                  <c:v>0.4176995958841308</c:v>
                </c:pt>
                <c:pt idx="11">
                  <c:v>0.43553793983379341</c:v>
                </c:pt>
                <c:pt idx="12">
                  <c:v>0.48604514648593844</c:v>
                </c:pt>
                <c:pt idx="13">
                  <c:v>0.54566315268593935</c:v>
                </c:pt>
                <c:pt idx="14">
                  <c:v>0.57583843127361989</c:v>
                </c:pt>
                <c:pt idx="15">
                  <c:v>0.60883233315059992</c:v>
                </c:pt>
                <c:pt idx="16">
                  <c:v>0.75306240267017255</c:v>
                </c:pt>
                <c:pt idx="17">
                  <c:v>0.90679622954557593</c:v>
                </c:pt>
                <c:pt idx="18">
                  <c:v>1.0402708983209545</c:v>
                </c:pt>
                <c:pt idx="19">
                  <c:v>1.4162199399405226</c:v>
                </c:pt>
                <c:pt idx="20">
                  <c:v>2.152627723415919</c:v>
                </c:pt>
              </c:numCache>
            </c:numRef>
          </c:xVal>
          <c:yVal>
            <c:numRef>
              <c:f>'Run 2 (Alex)'!$F$212:$F$232</c:f>
              <c:numCache>
                <c:formatCode>General</c:formatCode>
                <c:ptCount val="21"/>
                <c:pt idx="0">
                  <c:v>31.099799999999998</c:v>
                </c:pt>
                <c:pt idx="1">
                  <c:v>31.318000000000001</c:v>
                </c:pt>
                <c:pt idx="2">
                  <c:v>31.686800000000002</c:v>
                </c:pt>
                <c:pt idx="3">
                  <c:v>32.167099999999998</c:v>
                </c:pt>
                <c:pt idx="4">
                  <c:v>32.491100000000003</c:v>
                </c:pt>
                <c:pt idx="5">
                  <c:v>32.671599999999998</c:v>
                </c:pt>
                <c:pt idx="6">
                  <c:v>32.981000000000002</c:v>
                </c:pt>
                <c:pt idx="7">
                  <c:v>32.999400000000001</c:v>
                </c:pt>
                <c:pt idx="8">
                  <c:v>33.469200000000001</c:v>
                </c:pt>
                <c:pt idx="9">
                  <c:v>33.816699999999997</c:v>
                </c:pt>
                <c:pt idx="10">
                  <c:v>33.879899999999999</c:v>
                </c:pt>
                <c:pt idx="11">
                  <c:v>33.8461</c:v>
                </c:pt>
                <c:pt idx="12">
                  <c:v>34.335599999999999</c:v>
                </c:pt>
                <c:pt idx="13">
                  <c:v>34.863999999999997</c:v>
                </c:pt>
                <c:pt idx="14">
                  <c:v>34.851799999999997</c:v>
                </c:pt>
                <c:pt idx="15">
                  <c:v>35.015099999999997</c:v>
                </c:pt>
                <c:pt idx="16">
                  <c:v>35.655700000000003</c:v>
                </c:pt>
                <c:pt idx="17">
                  <c:v>37.232399999999998</c:v>
                </c:pt>
                <c:pt idx="18">
                  <c:v>37.482500000000002</c:v>
                </c:pt>
                <c:pt idx="19">
                  <c:v>38.075800000000001</c:v>
                </c:pt>
                <c:pt idx="20">
                  <c:v>41.5246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E2-4CF3-BAFD-7CF571328098}"/>
            </c:ext>
          </c:extLst>
        </c:ser>
        <c:ser>
          <c:idx val="11"/>
          <c:order val="11"/>
          <c:tx>
            <c:strRef>
              <c:f>'Run 2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(Alex)'!$H$233:$H$253</c:f>
              <c:numCache>
                <c:formatCode>General</c:formatCode>
                <c:ptCount val="21"/>
                <c:pt idx="0">
                  <c:v>5.11752506049084E-2</c:v>
                </c:pt>
                <c:pt idx="1">
                  <c:v>6.0369858278603521E-2</c:v>
                </c:pt>
                <c:pt idx="2">
                  <c:v>7.9243000345661938E-2</c:v>
                </c:pt>
                <c:pt idx="3">
                  <c:v>9.5696508814379522E-2</c:v>
                </c:pt>
                <c:pt idx="4">
                  <c:v>0.11004147943311442</c:v>
                </c:pt>
                <c:pt idx="5">
                  <c:v>0.12390252333218112</c:v>
                </c:pt>
                <c:pt idx="6">
                  <c:v>0.13674386450051851</c:v>
                </c:pt>
                <c:pt idx="7">
                  <c:v>0.14875561700656756</c:v>
                </c:pt>
                <c:pt idx="8">
                  <c:v>0.15916004147943311</c:v>
                </c:pt>
                <c:pt idx="9">
                  <c:v>0.17143104044244728</c:v>
                </c:pt>
                <c:pt idx="10">
                  <c:v>0.18155893536121673</c:v>
                </c:pt>
                <c:pt idx="11">
                  <c:v>0.19175596266851019</c:v>
                </c:pt>
                <c:pt idx="12">
                  <c:v>0.20502938126512268</c:v>
                </c:pt>
                <c:pt idx="13">
                  <c:v>0.22277912201866576</c:v>
                </c:pt>
                <c:pt idx="14">
                  <c:v>0.2426719668164535</c:v>
                </c:pt>
                <c:pt idx="15">
                  <c:v>0.26624611130314552</c:v>
                </c:pt>
                <c:pt idx="16">
                  <c:v>0.30468371932250254</c:v>
                </c:pt>
                <c:pt idx="17">
                  <c:v>0.35993778085032835</c:v>
                </c:pt>
                <c:pt idx="18">
                  <c:v>0.46811268579329418</c:v>
                </c:pt>
                <c:pt idx="19">
                  <c:v>0.73045281714483234</c:v>
                </c:pt>
                <c:pt idx="20">
                  <c:v>1.502817144832354</c:v>
                </c:pt>
              </c:numCache>
            </c:numRef>
          </c:xVal>
          <c:yVal>
            <c:numRef>
              <c:f>'Run 2 (Alex)'!$F$233:$F$253</c:f>
              <c:numCache>
                <c:formatCode>General</c:formatCode>
                <c:ptCount val="21"/>
                <c:pt idx="0">
                  <c:v>7.8150000000000004</c:v>
                </c:pt>
                <c:pt idx="1">
                  <c:v>8.2059999999999995</c:v>
                </c:pt>
                <c:pt idx="2">
                  <c:v>8.2932000000000006</c:v>
                </c:pt>
                <c:pt idx="3">
                  <c:v>7.9256000000000002</c:v>
                </c:pt>
                <c:pt idx="4">
                  <c:v>7.9459999999999997</c:v>
                </c:pt>
                <c:pt idx="5">
                  <c:v>7.9827000000000004</c:v>
                </c:pt>
                <c:pt idx="6">
                  <c:v>8.4812999999999992</c:v>
                </c:pt>
                <c:pt idx="7">
                  <c:v>7.9946999999999999</c:v>
                </c:pt>
                <c:pt idx="8">
                  <c:v>8.0717999999999996</c:v>
                </c:pt>
                <c:pt idx="9">
                  <c:v>8.1181000000000001</c:v>
                </c:pt>
                <c:pt idx="10">
                  <c:v>8.5082000000000004</c:v>
                </c:pt>
                <c:pt idx="11">
                  <c:v>8.1051000000000002</c:v>
                </c:pt>
                <c:pt idx="12">
                  <c:v>8.1414000000000009</c:v>
                </c:pt>
                <c:pt idx="13">
                  <c:v>8.1643000000000008</c:v>
                </c:pt>
                <c:pt idx="14">
                  <c:v>8.6601999999999997</c:v>
                </c:pt>
                <c:pt idx="15">
                  <c:v>8.2386999999999997</c:v>
                </c:pt>
                <c:pt idx="16">
                  <c:v>8.7001000000000008</c:v>
                </c:pt>
                <c:pt idx="17">
                  <c:v>8.4281000000000006</c:v>
                </c:pt>
                <c:pt idx="18">
                  <c:v>8.5797000000000008</c:v>
                </c:pt>
                <c:pt idx="19">
                  <c:v>9.0188000000000006</c:v>
                </c:pt>
                <c:pt idx="20">
                  <c:v>11.0518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E2-4CF3-BAFD-7CF571328098}"/>
            </c:ext>
          </c:extLst>
        </c:ser>
        <c:ser>
          <c:idx val="12"/>
          <c:order val="12"/>
          <c:tx>
            <c:strRef>
              <c:f>'Run 2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(Alex)'!$H$254:$H$274</c:f>
              <c:numCache>
                <c:formatCode>General</c:formatCode>
                <c:ptCount val="21"/>
                <c:pt idx="0">
                  <c:v>0.11955848397814947</c:v>
                </c:pt>
                <c:pt idx="1">
                  <c:v>0.14360533873965198</c:v>
                </c:pt>
                <c:pt idx="2">
                  <c:v>0.19696457734977757</c:v>
                </c:pt>
                <c:pt idx="3">
                  <c:v>0.24243960128400066</c:v>
                </c:pt>
                <c:pt idx="4">
                  <c:v>0.28473278143830605</c:v>
                </c:pt>
                <c:pt idx="5">
                  <c:v>0.32553359238610124</c:v>
                </c:pt>
                <c:pt idx="6">
                  <c:v>0.36143492707101432</c:v>
                </c:pt>
                <c:pt idx="7">
                  <c:v>0.40443205496423945</c:v>
                </c:pt>
                <c:pt idx="8">
                  <c:v>0.43053443712338801</c:v>
                </c:pt>
                <c:pt idx="9">
                  <c:v>0.45776313566480825</c:v>
                </c:pt>
                <c:pt idx="10">
                  <c:v>0.48504815002534213</c:v>
                </c:pt>
                <c:pt idx="11">
                  <c:v>0.51923185222729074</c:v>
                </c:pt>
                <c:pt idx="12">
                  <c:v>0.5644252970659458</c:v>
                </c:pt>
                <c:pt idx="13">
                  <c:v>0.63222954327870706</c:v>
                </c:pt>
                <c:pt idx="14">
                  <c:v>0.68426536013966321</c:v>
                </c:pt>
                <c:pt idx="15">
                  <c:v>0.75449118657430869</c:v>
                </c:pt>
                <c:pt idx="16">
                  <c:v>0.86120966379455999</c:v>
                </c:pt>
                <c:pt idx="17">
                  <c:v>0.96057892662048772</c:v>
                </c:pt>
                <c:pt idx="18">
                  <c:v>1.139353494396576</c:v>
                </c:pt>
                <c:pt idx="19">
                  <c:v>1.5243284338570706</c:v>
                </c:pt>
                <c:pt idx="20">
                  <c:v>2.2819733063017402</c:v>
                </c:pt>
              </c:numCache>
            </c:numRef>
          </c:xVal>
          <c:yVal>
            <c:numRef>
              <c:f>'Run 2 (Alex)'!$F$254:$F$274</c:f>
              <c:numCache>
                <c:formatCode>General</c:formatCode>
                <c:ptCount val="21"/>
                <c:pt idx="0">
                  <c:v>8.1486000000000001</c:v>
                </c:pt>
                <c:pt idx="1">
                  <c:v>8.1273</c:v>
                </c:pt>
                <c:pt idx="2">
                  <c:v>8.2559000000000005</c:v>
                </c:pt>
                <c:pt idx="3">
                  <c:v>8.4732000000000003</c:v>
                </c:pt>
                <c:pt idx="4">
                  <c:v>8.3355999999999995</c:v>
                </c:pt>
                <c:pt idx="5">
                  <c:v>8.3948999999999998</c:v>
                </c:pt>
                <c:pt idx="6">
                  <c:v>8.9476999999999993</c:v>
                </c:pt>
                <c:pt idx="7">
                  <c:v>8.5016999999999996</c:v>
                </c:pt>
                <c:pt idx="8">
                  <c:v>8.5257000000000005</c:v>
                </c:pt>
                <c:pt idx="9">
                  <c:v>8.516</c:v>
                </c:pt>
                <c:pt idx="10">
                  <c:v>9.1832999999999991</c:v>
                </c:pt>
                <c:pt idx="11">
                  <c:v>8.6247000000000007</c:v>
                </c:pt>
                <c:pt idx="12">
                  <c:v>8.6252999999999993</c:v>
                </c:pt>
                <c:pt idx="13">
                  <c:v>8.7861999999999991</c:v>
                </c:pt>
                <c:pt idx="14">
                  <c:v>9.1819000000000006</c:v>
                </c:pt>
                <c:pt idx="15">
                  <c:v>8.8737999999999992</c:v>
                </c:pt>
                <c:pt idx="16">
                  <c:v>9.0147999999999993</c:v>
                </c:pt>
                <c:pt idx="17">
                  <c:v>9.2258999999999993</c:v>
                </c:pt>
                <c:pt idx="18">
                  <c:v>9.2019000000000002</c:v>
                </c:pt>
                <c:pt idx="19">
                  <c:v>9.2150999999999996</c:v>
                </c:pt>
                <c:pt idx="20">
                  <c:v>10.201700000000001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E2-4CF3-BAFD-7CF571328098}"/>
            </c:ext>
          </c:extLst>
        </c:ser>
        <c:ser>
          <c:idx val="13"/>
          <c:order val="13"/>
          <c:tx>
            <c:strRef>
              <c:f>'Run 2 (Alex)'!$A$274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(Alex)'!$H$274:$H$295</c:f>
              <c:numCache>
                <c:formatCode>General</c:formatCode>
                <c:ptCount val="22"/>
                <c:pt idx="0">
                  <c:v>2.2819733063017402</c:v>
                </c:pt>
                <c:pt idx="1">
                  <c:v>1.3806790844731597E-2</c:v>
                </c:pt>
                <c:pt idx="2">
                  <c:v>1.600625472541068E-2</c:v>
                </c:pt>
                <c:pt idx="3">
                  <c:v>2.1358856278782045E-2</c:v>
                </c:pt>
                <c:pt idx="4">
                  <c:v>2.664272458588219E-2</c:v>
                </c:pt>
                <c:pt idx="5">
                  <c:v>3.1548560038490617E-2</c:v>
                </c:pt>
                <c:pt idx="6">
                  <c:v>3.6273970719637089E-2</c:v>
                </c:pt>
                <c:pt idx="7">
                  <c:v>4.077599835040209E-2</c:v>
                </c:pt>
                <c:pt idx="8">
                  <c:v>4.5114784521272933E-2</c:v>
                </c:pt>
                <c:pt idx="9">
                  <c:v>4.8989621279813045E-2</c:v>
                </c:pt>
                <c:pt idx="10">
                  <c:v>5.3268265860196576E-2</c:v>
                </c:pt>
                <c:pt idx="11">
                  <c:v>5.7091552684033264E-2</c:v>
                </c:pt>
                <c:pt idx="12">
                  <c:v>6.1026531033060688E-2</c:v>
                </c:pt>
                <c:pt idx="13">
                  <c:v>6.6104199601347169E-2</c:v>
                </c:pt>
                <c:pt idx="14">
                  <c:v>7.2857241047494664E-2</c:v>
                </c:pt>
                <c:pt idx="15">
                  <c:v>8.0924805828579277E-2</c:v>
                </c:pt>
                <c:pt idx="16">
                  <c:v>9.0324077256168797E-2</c:v>
                </c:pt>
                <c:pt idx="17">
                  <c:v>0.10533369991064677</c:v>
                </c:pt>
                <c:pt idx="18">
                  <c:v>0.12672692281256442</c:v>
                </c:pt>
                <c:pt idx="19">
                  <c:v>0.16535500721699087</c:v>
                </c:pt>
                <c:pt idx="20">
                  <c:v>0.24549797236923498</c:v>
                </c:pt>
                <c:pt idx="21">
                  <c:v>0.45713622929410958</c:v>
                </c:pt>
              </c:numCache>
            </c:numRef>
          </c:xVal>
          <c:yVal>
            <c:numRef>
              <c:f>'Run 2 (Alex)'!$F$274:$F$295</c:f>
              <c:numCache>
                <c:formatCode>General</c:formatCode>
                <c:ptCount val="22"/>
                <c:pt idx="0">
                  <c:v>10.201700000000001</c:v>
                </c:pt>
                <c:pt idx="1">
                  <c:v>3.9270999999999998</c:v>
                </c:pt>
                <c:pt idx="2">
                  <c:v>3.9723999999999999</c:v>
                </c:pt>
                <c:pt idx="3">
                  <c:v>4.0349000000000004</c:v>
                </c:pt>
                <c:pt idx="4">
                  <c:v>4.4252000000000002</c:v>
                </c:pt>
                <c:pt idx="5">
                  <c:v>4.0022000000000002</c:v>
                </c:pt>
                <c:pt idx="6">
                  <c:v>4.0190000000000001</c:v>
                </c:pt>
                <c:pt idx="7">
                  <c:v>4.0864000000000003</c:v>
                </c:pt>
                <c:pt idx="8">
                  <c:v>4.1040999999999999</c:v>
                </c:pt>
                <c:pt idx="9">
                  <c:v>4.3407999999999998</c:v>
                </c:pt>
                <c:pt idx="10">
                  <c:v>4.1189999999999998</c:v>
                </c:pt>
                <c:pt idx="11">
                  <c:v>4.1604999999999999</c:v>
                </c:pt>
                <c:pt idx="12">
                  <c:v>4.4732000000000003</c:v>
                </c:pt>
                <c:pt idx="13">
                  <c:v>4.1965000000000003</c:v>
                </c:pt>
                <c:pt idx="14">
                  <c:v>4.1879</c:v>
                </c:pt>
                <c:pt idx="15">
                  <c:v>4.2019000000000002</c:v>
                </c:pt>
                <c:pt idx="16">
                  <c:v>4.2679999999999998</c:v>
                </c:pt>
                <c:pt idx="17">
                  <c:v>4.3323999999999998</c:v>
                </c:pt>
                <c:pt idx="18">
                  <c:v>4.4115000000000002</c:v>
                </c:pt>
                <c:pt idx="19">
                  <c:v>5.0793999999999997</c:v>
                </c:pt>
                <c:pt idx="20">
                  <c:v>4.9744999999999999</c:v>
                </c:pt>
                <c:pt idx="21">
                  <c:v>5.9886999999999997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CE2-4CF3-BAFD-7CF571328098}"/>
            </c:ext>
          </c:extLst>
        </c:ser>
        <c:ser>
          <c:idx val="14"/>
          <c:order val="14"/>
          <c:tx>
            <c:strRef>
              <c:f>'Run 2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(Alex)'!$H$296:$H$316</c:f>
              <c:numCache>
                <c:formatCode>General</c:formatCode>
                <c:ptCount val="21"/>
                <c:pt idx="0">
                  <c:v>1.1621537247233037E-2</c:v>
                </c:pt>
                <c:pt idx="1">
                  <c:v>1.4814073074906784E-2</c:v>
                </c:pt>
                <c:pt idx="2">
                  <c:v>2.1305169905343081E-2</c:v>
                </c:pt>
                <c:pt idx="3">
                  <c:v>2.7006968210118335E-2</c:v>
                </c:pt>
                <c:pt idx="4">
                  <c:v>3.2749998527428124E-2</c:v>
                </c:pt>
                <c:pt idx="5">
                  <c:v>3.8021805844343261E-2</c:v>
                </c:pt>
                <c:pt idx="6">
                  <c:v>4.2940195910962417E-2</c:v>
                </c:pt>
                <c:pt idx="7">
                  <c:v>4.7734889939977973E-2</c:v>
                </c:pt>
                <c:pt idx="8">
                  <c:v>5.1793298030876893E-2</c:v>
                </c:pt>
                <c:pt idx="9">
                  <c:v>5.6446625159774048E-2</c:v>
                </c:pt>
                <c:pt idx="10">
                  <c:v>6.0510923538177899E-2</c:v>
                </c:pt>
                <c:pt idx="11">
                  <c:v>6.4775491691749468E-2</c:v>
                </c:pt>
                <c:pt idx="12">
                  <c:v>7.0377155108940867E-2</c:v>
                </c:pt>
                <c:pt idx="13">
                  <c:v>7.7533854427434601E-2</c:v>
                </c:pt>
                <c:pt idx="14">
                  <c:v>8.6510652584952677E-2</c:v>
                </c:pt>
                <c:pt idx="15">
                  <c:v>9.7272207856465467E-2</c:v>
                </c:pt>
                <c:pt idx="16">
                  <c:v>0.11402418552049526</c:v>
                </c:pt>
                <c:pt idx="17">
                  <c:v>0.13749109094014877</c:v>
                </c:pt>
                <c:pt idx="18">
                  <c:v>0.17727998303597201</c:v>
                </c:pt>
                <c:pt idx="19">
                  <c:v>0.25482561803841647</c:v>
                </c:pt>
                <c:pt idx="20">
                  <c:v>0.44654269574897953</c:v>
                </c:pt>
              </c:numCache>
            </c:numRef>
          </c:xVal>
          <c:yVal>
            <c:numRef>
              <c:f>'Run 2 (Alex)'!$F$296:$F$316</c:f>
              <c:numCache>
                <c:formatCode>General</c:formatCode>
                <c:ptCount val="21"/>
                <c:pt idx="0">
                  <c:v>3.9470999999999998</c:v>
                </c:pt>
                <c:pt idx="1">
                  <c:v>4.0263999999999998</c:v>
                </c:pt>
                <c:pt idx="2">
                  <c:v>4.0754000000000001</c:v>
                </c:pt>
                <c:pt idx="3">
                  <c:v>4.0688000000000004</c:v>
                </c:pt>
                <c:pt idx="4">
                  <c:v>4.0871000000000004</c:v>
                </c:pt>
                <c:pt idx="5">
                  <c:v>4.1566000000000001</c:v>
                </c:pt>
                <c:pt idx="6">
                  <c:v>4.1239999999999997</c:v>
                </c:pt>
                <c:pt idx="7">
                  <c:v>4.1538000000000004</c:v>
                </c:pt>
                <c:pt idx="8">
                  <c:v>4.1840999999999999</c:v>
                </c:pt>
                <c:pt idx="9">
                  <c:v>4.2336</c:v>
                </c:pt>
                <c:pt idx="10">
                  <c:v>4.2251000000000003</c:v>
                </c:pt>
                <c:pt idx="11">
                  <c:v>4.2554999999999996</c:v>
                </c:pt>
                <c:pt idx="12">
                  <c:v>4.2845000000000004</c:v>
                </c:pt>
                <c:pt idx="13">
                  <c:v>4.3506</c:v>
                </c:pt>
                <c:pt idx="14">
                  <c:v>4.4078999999999997</c:v>
                </c:pt>
                <c:pt idx="15">
                  <c:v>4.8925000000000001</c:v>
                </c:pt>
                <c:pt idx="16">
                  <c:v>4.6665999999999999</c:v>
                </c:pt>
                <c:pt idx="17">
                  <c:v>4.6585999999999999</c:v>
                </c:pt>
                <c:pt idx="18">
                  <c:v>4.8647999999999998</c:v>
                </c:pt>
                <c:pt idx="19">
                  <c:v>5.2423000000000002</c:v>
                </c:pt>
                <c:pt idx="20">
                  <c:v>6.3967000000000001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CE2-4CF3-BAFD-7CF571328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2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2 (Alex)'!$H$2:$H$21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2.4216332563397072E-2</c:v>
                      </c:pt>
                      <c:pt idx="1">
                        <c:v>2.638242891003461E-2</c:v>
                      </c:pt>
                      <c:pt idx="2">
                        <c:v>3.212113528769861E-2</c:v>
                      </c:pt>
                      <c:pt idx="3">
                        <c:v>3.7990443292081559E-2</c:v>
                      </c:pt>
                      <c:pt idx="4">
                        <c:v>4.3526579287932465E-2</c:v>
                      </c:pt>
                      <c:pt idx="5">
                        <c:v>4.8808151837304921E-2</c:v>
                      </c:pt>
                      <c:pt idx="6">
                        <c:v>5.3718007736050337E-2</c:v>
                      </c:pt>
                      <c:pt idx="7">
                        <c:v>5.8425405792083662E-2</c:v>
                      </c:pt>
                      <c:pt idx="8">
                        <c:v>6.2448397305341255E-2</c:v>
                      </c:pt>
                      <c:pt idx="9">
                        <c:v>6.6954181561920054E-2</c:v>
                      </c:pt>
                      <c:pt idx="10">
                        <c:v>7.0911506509739888E-2</c:v>
                      </c:pt>
                      <c:pt idx="11">
                        <c:v>7.4855833191393384E-2</c:v>
                      </c:pt>
                      <c:pt idx="12">
                        <c:v>7.9993580769678538E-2</c:v>
                      </c:pt>
                      <c:pt idx="13">
                        <c:v>8.6321485610666132E-2</c:v>
                      </c:pt>
                      <c:pt idx="14">
                        <c:v>9.4129560977651933E-2</c:v>
                      </c:pt>
                      <c:pt idx="15">
                        <c:v>0.10278207348904581</c:v>
                      </c:pt>
                      <c:pt idx="16">
                        <c:v>0.1163444981687356</c:v>
                      </c:pt>
                      <c:pt idx="17">
                        <c:v>0.13584094083588755</c:v>
                      </c:pt>
                      <c:pt idx="18">
                        <c:v>0.16990421965921923</c:v>
                      </c:pt>
                      <c:pt idx="19">
                        <c:v>0.24301130776006055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2 (Alex)'!$F$2:$F$21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1247.5182</c:v>
                      </c:pt>
                      <c:pt idx="1">
                        <c:v>1193.1796999999999</c:v>
                      </c:pt>
                      <c:pt idx="2">
                        <c:v>1087.5494000000001</c:v>
                      </c:pt>
                      <c:pt idx="3">
                        <c:v>1081.0061000000001</c:v>
                      </c:pt>
                      <c:pt idx="4">
                        <c:v>1082.1826000000001</c:v>
                      </c:pt>
                      <c:pt idx="5">
                        <c:v>1074.1394</c:v>
                      </c:pt>
                      <c:pt idx="6">
                        <c:v>1077.0487000000001</c:v>
                      </c:pt>
                      <c:pt idx="7">
                        <c:v>1080.1220000000001</c:v>
                      </c:pt>
                      <c:pt idx="8">
                        <c:v>1083.8811000000001</c:v>
                      </c:pt>
                      <c:pt idx="9">
                        <c:v>1088.566</c:v>
                      </c:pt>
                      <c:pt idx="10">
                        <c:v>1099.7257999999999</c:v>
                      </c:pt>
                      <c:pt idx="11">
                        <c:v>1155.9112</c:v>
                      </c:pt>
                      <c:pt idx="12">
                        <c:v>1203.1103000000001</c:v>
                      </c:pt>
                      <c:pt idx="13">
                        <c:v>1215.808</c:v>
                      </c:pt>
                      <c:pt idx="14">
                        <c:v>1108.5581</c:v>
                      </c:pt>
                      <c:pt idx="15">
                        <c:v>1111.5966000000001</c:v>
                      </c:pt>
                      <c:pt idx="16">
                        <c:v>1124.0531000000001</c:v>
                      </c:pt>
                      <c:pt idx="17">
                        <c:v>1146.3145</c:v>
                      </c:pt>
                      <c:pt idx="18">
                        <c:v>1155.548</c:v>
                      </c:pt>
                      <c:pt idx="19">
                        <c:v>1188.2609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BCE2-4CF3-BAFD-7CF571328098}"/>
                  </c:ext>
                </c:extLst>
              </c15:ser>
            </c15:filteredScatterSeries>
          </c:ext>
        </c:extLst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6671621399273283"/>
              <c:y val="0.927348823664775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5808636450056118"/>
              <c:y val="0.406346528454952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2.3820142389815131E-2"/>
          <c:y val="2.9096848484458773E-2"/>
          <c:w val="0.14106147997212398"/>
          <c:h val="0.7383855814707623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679860206400414"/>
        </c:manualLayout>
      </c:layout>
      <c:scatterChart>
        <c:scatterStyle val="lineMarker"/>
        <c:varyColors val="0"/>
        <c:ser>
          <c:idx val="3"/>
          <c:order val="2"/>
          <c:tx>
            <c:strRef>
              <c:f>'Run 2 (Alex)'!$A$42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(Alex)'!$E$42:$E$61</c:f>
              <c:numCache>
                <c:formatCode>General</c:formatCode>
                <c:ptCount val="20"/>
                <c:pt idx="0">
                  <c:v>83.53</c:v>
                </c:pt>
                <c:pt idx="1">
                  <c:v>127.54</c:v>
                </c:pt>
                <c:pt idx="2">
                  <c:v>29.48</c:v>
                </c:pt>
                <c:pt idx="3">
                  <c:v>38.08</c:v>
                </c:pt>
                <c:pt idx="4">
                  <c:v>55.05</c:v>
                </c:pt>
                <c:pt idx="5">
                  <c:v>69.38</c:v>
                </c:pt>
                <c:pt idx="6">
                  <c:v>82.16</c:v>
                </c:pt>
                <c:pt idx="7">
                  <c:v>93.72</c:v>
                </c:pt>
                <c:pt idx="8">
                  <c:v>104.3</c:v>
                </c:pt>
                <c:pt idx="9">
                  <c:v>114.69</c:v>
                </c:pt>
                <c:pt idx="10">
                  <c:v>122.64</c:v>
                </c:pt>
                <c:pt idx="11">
                  <c:v>131.59</c:v>
                </c:pt>
                <c:pt idx="12">
                  <c:v>139.16999999999999</c:v>
                </c:pt>
                <c:pt idx="13">
                  <c:v>147.19999999999999</c:v>
                </c:pt>
                <c:pt idx="14">
                  <c:v>157.18</c:v>
                </c:pt>
                <c:pt idx="15">
                  <c:v>169.39</c:v>
                </c:pt>
                <c:pt idx="16">
                  <c:v>184.4</c:v>
                </c:pt>
                <c:pt idx="17">
                  <c:v>201.78</c:v>
                </c:pt>
                <c:pt idx="18">
                  <c:v>229.03</c:v>
                </c:pt>
                <c:pt idx="19">
                  <c:v>266.33</c:v>
                </c:pt>
              </c:numCache>
            </c:numRef>
          </c:xVal>
          <c:yVal>
            <c:numRef>
              <c:f>'Run 2 (Alex)'!$D$42:$D$61</c:f>
              <c:numCache>
                <c:formatCode>General</c:formatCode>
                <c:ptCount val="20"/>
                <c:pt idx="0">
                  <c:v>90.01</c:v>
                </c:pt>
                <c:pt idx="1">
                  <c:v>126.99</c:v>
                </c:pt>
                <c:pt idx="2">
                  <c:v>32.520000000000003</c:v>
                </c:pt>
                <c:pt idx="3">
                  <c:v>42</c:v>
                </c:pt>
                <c:pt idx="4">
                  <c:v>60.52</c:v>
                </c:pt>
                <c:pt idx="5">
                  <c:v>76.319999999999993</c:v>
                </c:pt>
                <c:pt idx="6">
                  <c:v>90.44</c:v>
                </c:pt>
                <c:pt idx="7">
                  <c:v>103.22</c:v>
                </c:pt>
                <c:pt idx="8">
                  <c:v>114.72</c:v>
                </c:pt>
                <c:pt idx="9">
                  <c:v>125.88</c:v>
                </c:pt>
                <c:pt idx="10">
                  <c:v>134.72999999999999</c:v>
                </c:pt>
                <c:pt idx="11">
                  <c:v>144.65</c:v>
                </c:pt>
                <c:pt idx="12">
                  <c:v>152.96</c:v>
                </c:pt>
                <c:pt idx="13">
                  <c:v>161.75</c:v>
                </c:pt>
                <c:pt idx="14">
                  <c:v>172.79</c:v>
                </c:pt>
                <c:pt idx="15">
                  <c:v>186.25</c:v>
                </c:pt>
                <c:pt idx="16">
                  <c:v>202.7</c:v>
                </c:pt>
                <c:pt idx="17">
                  <c:v>221.25</c:v>
                </c:pt>
                <c:pt idx="18">
                  <c:v>250.31</c:v>
                </c:pt>
                <c:pt idx="19">
                  <c:v>290.05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8-4808-B651-9426407A86C6}"/>
            </c:ext>
          </c:extLst>
        </c:ser>
        <c:ser>
          <c:idx val="4"/>
          <c:order val="3"/>
          <c:tx>
            <c:strRef>
              <c:f>'Run 2 (Alex)'!$A$62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(Alex)'!$E$62:$E$81</c:f>
              <c:numCache>
                <c:formatCode>General</c:formatCode>
                <c:ptCount val="20"/>
                <c:pt idx="0">
                  <c:v>330.88</c:v>
                </c:pt>
                <c:pt idx="1">
                  <c:v>468.31</c:v>
                </c:pt>
                <c:pt idx="2">
                  <c:v>877.97</c:v>
                </c:pt>
                <c:pt idx="3">
                  <c:v>97</c:v>
                </c:pt>
                <c:pt idx="4">
                  <c:v>123.57</c:v>
                </c:pt>
                <c:pt idx="5">
                  <c:v>178.4</c:v>
                </c:pt>
                <c:pt idx="6">
                  <c:v>221.13</c:v>
                </c:pt>
                <c:pt idx="7">
                  <c:v>258.18</c:v>
                </c:pt>
                <c:pt idx="8">
                  <c:v>294.3</c:v>
                </c:pt>
                <c:pt idx="9">
                  <c:v>326.39999999999998</c:v>
                </c:pt>
                <c:pt idx="10">
                  <c:v>379.33</c:v>
                </c:pt>
                <c:pt idx="11">
                  <c:v>396.7</c:v>
                </c:pt>
                <c:pt idx="12">
                  <c:v>412</c:v>
                </c:pt>
                <c:pt idx="13">
                  <c:v>428.34</c:v>
                </c:pt>
                <c:pt idx="14">
                  <c:v>451.68</c:v>
                </c:pt>
                <c:pt idx="15">
                  <c:v>614.88</c:v>
                </c:pt>
                <c:pt idx="16">
                  <c:v>720.99</c:v>
                </c:pt>
                <c:pt idx="17">
                  <c:v>759.79</c:v>
                </c:pt>
                <c:pt idx="18">
                  <c:v>803.81</c:v>
                </c:pt>
                <c:pt idx="19">
                  <c:v>855.83</c:v>
                </c:pt>
              </c:numCache>
            </c:numRef>
          </c:xVal>
          <c:yVal>
            <c:numRef>
              <c:f>'Run 2 (Alex)'!$D$62:$D$81</c:f>
              <c:numCache>
                <c:formatCode>General</c:formatCode>
                <c:ptCount val="20"/>
                <c:pt idx="0">
                  <c:v>359.88</c:v>
                </c:pt>
                <c:pt idx="1">
                  <c:v>506.14</c:v>
                </c:pt>
                <c:pt idx="2">
                  <c:v>845.84</c:v>
                </c:pt>
                <c:pt idx="3">
                  <c:v>106.62</c:v>
                </c:pt>
                <c:pt idx="4">
                  <c:v>134.97</c:v>
                </c:pt>
                <c:pt idx="5">
                  <c:v>193.03</c:v>
                </c:pt>
                <c:pt idx="6">
                  <c:v>239.38</c:v>
                </c:pt>
                <c:pt idx="7">
                  <c:v>280.44</c:v>
                </c:pt>
                <c:pt idx="8">
                  <c:v>320.19</c:v>
                </c:pt>
                <c:pt idx="9">
                  <c:v>354.61</c:v>
                </c:pt>
                <c:pt idx="10">
                  <c:v>411.1</c:v>
                </c:pt>
                <c:pt idx="11">
                  <c:v>431.21</c:v>
                </c:pt>
                <c:pt idx="12">
                  <c:v>450.81</c:v>
                </c:pt>
                <c:pt idx="13">
                  <c:v>470.45</c:v>
                </c:pt>
                <c:pt idx="14">
                  <c:v>495.07</c:v>
                </c:pt>
                <c:pt idx="15">
                  <c:v>654.36</c:v>
                </c:pt>
                <c:pt idx="16">
                  <c:v>773.47</c:v>
                </c:pt>
                <c:pt idx="17">
                  <c:v>817.89</c:v>
                </c:pt>
                <c:pt idx="18">
                  <c:v>869.21</c:v>
                </c:pt>
                <c:pt idx="19">
                  <c:v>926.88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D8-4808-B651-9426407A86C6}"/>
            </c:ext>
          </c:extLst>
        </c:ser>
        <c:ser>
          <c:idx val="5"/>
          <c:order val="4"/>
          <c:tx>
            <c:strRef>
              <c:f>'Run 2 (Alex)'!$A$82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(Alex)'!$E$82:$E$101</c:f>
              <c:numCache>
                <c:formatCode>General</c:formatCode>
                <c:ptCount val="20"/>
                <c:pt idx="0">
                  <c:v>935.07</c:v>
                </c:pt>
                <c:pt idx="1">
                  <c:v>1201.25</c:v>
                </c:pt>
                <c:pt idx="2">
                  <c:v>1583.61</c:v>
                </c:pt>
                <c:pt idx="3">
                  <c:v>2812.44</c:v>
                </c:pt>
                <c:pt idx="4">
                  <c:v>80.63</c:v>
                </c:pt>
                <c:pt idx="5">
                  <c:v>83.7</c:v>
                </c:pt>
                <c:pt idx="6">
                  <c:v>90.95</c:v>
                </c:pt>
                <c:pt idx="7">
                  <c:v>97.94</c:v>
                </c:pt>
                <c:pt idx="8">
                  <c:v>107.17</c:v>
                </c:pt>
                <c:pt idx="9">
                  <c:v>116.69</c:v>
                </c:pt>
                <c:pt idx="10">
                  <c:v>136.57</c:v>
                </c:pt>
                <c:pt idx="11">
                  <c:v>169.46</c:v>
                </c:pt>
                <c:pt idx="12">
                  <c:v>174.5</c:v>
                </c:pt>
                <c:pt idx="13">
                  <c:v>177.78</c:v>
                </c:pt>
                <c:pt idx="14">
                  <c:v>181.53</c:v>
                </c:pt>
                <c:pt idx="15">
                  <c:v>197.41</c:v>
                </c:pt>
                <c:pt idx="16">
                  <c:v>411.47</c:v>
                </c:pt>
                <c:pt idx="17">
                  <c:v>496.21</c:v>
                </c:pt>
                <c:pt idx="18">
                  <c:v>507.11</c:v>
                </c:pt>
                <c:pt idx="19">
                  <c:v>526.52</c:v>
                </c:pt>
              </c:numCache>
            </c:numRef>
          </c:xVal>
          <c:yVal>
            <c:numRef>
              <c:f>'Run 2 (Alex)'!$D$82:$D$101</c:f>
              <c:numCache>
                <c:formatCode>General</c:formatCode>
                <c:ptCount val="20"/>
                <c:pt idx="0">
                  <c:v>1006</c:v>
                </c:pt>
                <c:pt idx="1">
                  <c:v>1280.48</c:v>
                </c:pt>
                <c:pt idx="2">
                  <c:v>1711.77</c:v>
                </c:pt>
                <c:pt idx="3">
                  <c:v>2640.3</c:v>
                </c:pt>
                <c:pt idx="4">
                  <c:v>89.84</c:v>
                </c:pt>
                <c:pt idx="5">
                  <c:v>93.56</c:v>
                </c:pt>
                <c:pt idx="6">
                  <c:v>101.23</c:v>
                </c:pt>
                <c:pt idx="7">
                  <c:v>109.58</c:v>
                </c:pt>
                <c:pt idx="8">
                  <c:v>119.55</c:v>
                </c:pt>
                <c:pt idx="9">
                  <c:v>130.86000000000001</c:v>
                </c:pt>
                <c:pt idx="10">
                  <c:v>151.05000000000001</c:v>
                </c:pt>
                <c:pt idx="11">
                  <c:v>185.39</c:v>
                </c:pt>
                <c:pt idx="12">
                  <c:v>192.33</c:v>
                </c:pt>
                <c:pt idx="13">
                  <c:v>198.28</c:v>
                </c:pt>
                <c:pt idx="14">
                  <c:v>204.26</c:v>
                </c:pt>
                <c:pt idx="15">
                  <c:v>218.52</c:v>
                </c:pt>
                <c:pt idx="16">
                  <c:v>424.65</c:v>
                </c:pt>
                <c:pt idx="17">
                  <c:v>523.47</c:v>
                </c:pt>
                <c:pt idx="18">
                  <c:v>540.89</c:v>
                </c:pt>
                <c:pt idx="19">
                  <c:v>569.67999999999995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D8-4808-B651-9426407A86C6}"/>
            </c:ext>
          </c:extLst>
        </c:ser>
        <c:ser>
          <c:idx val="0"/>
          <c:order val="5"/>
          <c:tx>
            <c:strRef>
              <c:f>'Run 2 (Alex)'!$A$102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(Alex)'!$E$102:$E$121</c:f>
              <c:numCache>
                <c:formatCode>General</c:formatCode>
                <c:ptCount val="20"/>
                <c:pt idx="0">
                  <c:v>547.5</c:v>
                </c:pt>
                <c:pt idx="1">
                  <c:v>590.63</c:v>
                </c:pt>
                <c:pt idx="2">
                  <c:v>798.17</c:v>
                </c:pt>
                <c:pt idx="3">
                  <c:v>1053.76</c:v>
                </c:pt>
                <c:pt idx="4">
                  <c:v>1976.48</c:v>
                </c:pt>
                <c:pt idx="5">
                  <c:v>7.5</c:v>
                </c:pt>
                <c:pt idx="6">
                  <c:v>8.7899999999999991</c:v>
                </c:pt>
                <c:pt idx="7">
                  <c:v>12.67</c:v>
                </c:pt>
                <c:pt idx="8">
                  <c:v>16.41</c:v>
                </c:pt>
                <c:pt idx="9">
                  <c:v>19.899999999999999</c:v>
                </c:pt>
                <c:pt idx="10">
                  <c:v>23.1</c:v>
                </c:pt>
                <c:pt idx="11">
                  <c:v>25.94</c:v>
                </c:pt>
                <c:pt idx="12">
                  <c:v>28.79</c:v>
                </c:pt>
                <c:pt idx="13">
                  <c:v>30.99</c:v>
                </c:pt>
                <c:pt idx="14">
                  <c:v>33.57</c:v>
                </c:pt>
                <c:pt idx="15">
                  <c:v>35.74</c:v>
                </c:pt>
                <c:pt idx="16">
                  <c:v>38.06</c:v>
                </c:pt>
                <c:pt idx="17">
                  <c:v>41.02</c:v>
                </c:pt>
                <c:pt idx="18">
                  <c:v>44.51</c:v>
                </c:pt>
                <c:pt idx="19">
                  <c:v>48.73</c:v>
                </c:pt>
              </c:numCache>
            </c:numRef>
          </c:xVal>
          <c:yVal>
            <c:numRef>
              <c:f>'Run 2 (Alex)'!$D$102:$D$121</c:f>
              <c:numCache>
                <c:formatCode>General</c:formatCode>
                <c:ptCount val="20"/>
                <c:pt idx="0">
                  <c:v>593.29999999999995</c:v>
                </c:pt>
                <c:pt idx="1">
                  <c:v>629.44000000000005</c:v>
                </c:pt>
                <c:pt idx="2">
                  <c:v>844.01</c:v>
                </c:pt>
                <c:pt idx="3">
                  <c:v>1143.49</c:v>
                </c:pt>
                <c:pt idx="4">
                  <c:v>1803.15</c:v>
                </c:pt>
                <c:pt idx="5">
                  <c:v>8.2899999999999991</c:v>
                </c:pt>
                <c:pt idx="6">
                  <c:v>9.67</c:v>
                </c:pt>
                <c:pt idx="7">
                  <c:v>14.07</c:v>
                </c:pt>
                <c:pt idx="8">
                  <c:v>17.93</c:v>
                </c:pt>
                <c:pt idx="9">
                  <c:v>21.81</c:v>
                </c:pt>
                <c:pt idx="10">
                  <c:v>25.22</c:v>
                </c:pt>
                <c:pt idx="11">
                  <c:v>28.32</c:v>
                </c:pt>
                <c:pt idx="12">
                  <c:v>31.26</c:v>
                </c:pt>
                <c:pt idx="13">
                  <c:v>33.590000000000003</c:v>
                </c:pt>
                <c:pt idx="14">
                  <c:v>36.33</c:v>
                </c:pt>
                <c:pt idx="15">
                  <c:v>38.74</c:v>
                </c:pt>
                <c:pt idx="16">
                  <c:v>41.14</c:v>
                </c:pt>
                <c:pt idx="17">
                  <c:v>44.14</c:v>
                </c:pt>
                <c:pt idx="18">
                  <c:v>47.93</c:v>
                </c:pt>
                <c:pt idx="19">
                  <c:v>52.13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D8-4808-B651-9426407A86C6}"/>
            </c:ext>
          </c:extLst>
        </c:ser>
        <c:ser>
          <c:idx val="6"/>
          <c:order val="6"/>
          <c:tx>
            <c:strRef>
              <c:f>'Run 2 (Alex)'!$A$122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(Alex)'!$E$122:$E$141</c:f>
              <c:numCache>
                <c:formatCode>General</c:formatCode>
                <c:ptCount val="20"/>
                <c:pt idx="0">
                  <c:v>53.46</c:v>
                </c:pt>
                <c:pt idx="1">
                  <c:v>60.85</c:v>
                </c:pt>
                <c:pt idx="2">
                  <c:v>70.930000000000007</c:v>
                </c:pt>
                <c:pt idx="3">
                  <c:v>87.36</c:v>
                </c:pt>
                <c:pt idx="4">
                  <c:v>120.82</c:v>
                </c:pt>
                <c:pt idx="5">
                  <c:v>218.14</c:v>
                </c:pt>
                <c:pt idx="6">
                  <c:v>12.46</c:v>
                </c:pt>
                <c:pt idx="7">
                  <c:v>14.52</c:v>
                </c:pt>
                <c:pt idx="8">
                  <c:v>19.36</c:v>
                </c:pt>
                <c:pt idx="9">
                  <c:v>23.2</c:v>
                </c:pt>
                <c:pt idx="10">
                  <c:v>27.03</c:v>
                </c:pt>
                <c:pt idx="11">
                  <c:v>30.16</c:v>
                </c:pt>
                <c:pt idx="12">
                  <c:v>33.47</c:v>
                </c:pt>
                <c:pt idx="13">
                  <c:v>37.68</c:v>
                </c:pt>
                <c:pt idx="14">
                  <c:v>39.11</c:v>
                </c:pt>
                <c:pt idx="15">
                  <c:v>40.619999999999997</c:v>
                </c:pt>
                <c:pt idx="16">
                  <c:v>42.18</c:v>
                </c:pt>
                <c:pt idx="17">
                  <c:v>44.29</c:v>
                </c:pt>
                <c:pt idx="18">
                  <c:v>53.72</c:v>
                </c:pt>
                <c:pt idx="19">
                  <c:v>60.18</c:v>
                </c:pt>
              </c:numCache>
            </c:numRef>
          </c:xVal>
          <c:yVal>
            <c:numRef>
              <c:f>'Run 2 (Alex)'!$D$122:$D$141</c:f>
              <c:numCache>
                <c:formatCode>General</c:formatCode>
                <c:ptCount val="20"/>
                <c:pt idx="0">
                  <c:v>57.09</c:v>
                </c:pt>
                <c:pt idx="1">
                  <c:v>64.739999999999995</c:v>
                </c:pt>
                <c:pt idx="2">
                  <c:v>75.010000000000005</c:v>
                </c:pt>
                <c:pt idx="3">
                  <c:v>92.31</c:v>
                </c:pt>
                <c:pt idx="4">
                  <c:v>127.85</c:v>
                </c:pt>
                <c:pt idx="5">
                  <c:v>213.55</c:v>
                </c:pt>
                <c:pt idx="6">
                  <c:v>13.83</c:v>
                </c:pt>
                <c:pt idx="7">
                  <c:v>16.600000000000001</c:v>
                </c:pt>
                <c:pt idx="8">
                  <c:v>22.16</c:v>
                </c:pt>
                <c:pt idx="9">
                  <c:v>26.74</c:v>
                </c:pt>
                <c:pt idx="10">
                  <c:v>31.24</c:v>
                </c:pt>
                <c:pt idx="11">
                  <c:v>35.08</c:v>
                </c:pt>
                <c:pt idx="12">
                  <c:v>38.619999999999997</c:v>
                </c:pt>
                <c:pt idx="13">
                  <c:v>43.51</c:v>
                </c:pt>
                <c:pt idx="14">
                  <c:v>45.42</c:v>
                </c:pt>
                <c:pt idx="15">
                  <c:v>47.27</c:v>
                </c:pt>
                <c:pt idx="16">
                  <c:v>49.11</c:v>
                </c:pt>
                <c:pt idx="17">
                  <c:v>51.32</c:v>
                </c:pt>
                <c:pt idx="18">
                  <c:v>60.87</c:v>
                </c:pt>
                <c:pt idx="19">
                  <c:v>68.45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D8-4808-B651-9426407A86C6}"/>
            </c:ext>
          </c:extLst>
        </c:ser>
        <c:ser>
          <c:idx val="7"/>
          <c:order val="7"/>
          <c:tx>
            <c:strRef>
              <c:f>'Run 2 (Alex)'!$A$142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(Alex)'!$E$142:$E$161</c:f>
              <c:numCache>
                <c:formatCode>General</c:formatCode>
                <c:ptCount val="20"/>
                <c:pt idx="0">
                  <c:v>63.32</c:v>
                </c:pt>
                <c:pt idx="1">
                  <c:v>67.239999999999995</c:v>
                </c:pt>
                <c:pt idx="2">
                  <c:v>72.150000000000006</c:v>
                </c:pt>
                <c:pt idx="3">
                  <c:v>79.27</c:v>
                </c:pt>
                <c:pt idx="4">
                  <c:v>99.38</c:v>
                </c:pt>
                <c:pt idx="5">
                  <c:v>131.32</c:v>
                </c:pt>
                <c:pt idx="6">
                  <c:v>251.94</c:v>
                </c:pt>
                <c:pt idx="7">
                  <c:v>36.19</c:v>
                </c:pt>
                <c:pt idx="8">
                  <c:v>45.39</c:v>
                </c:pt>
                <c:pt idx="9">
                  <c:v>64.489999999999995</c:v>
                </c:pt>
                <c:pt idx="10">
                  <c:v>81.680000000000007</c:v>
                </c:pt>
                <c:pt idx="11">
                  <c:v>96.32</c:v>
                </c:pt>
                <c:pt idx="12">
                  <c:v>110.28</c:v>
                </c:pt>
                <c:pt idx="13">
                  <c:v>124.53</c:v>
                </c:pt>
                <c:pt idx="14">
                  <c:v>138.04</c:v>
                </c:pt>
                <c:pt idx="15">
                  <c:v>147.74</c:v>
                </c:pt>
                <c:pt idx="16">
                  <c:v>157.84</c:v>
                </c:pt>
                <c:pt idx="17">
                  <c:v>166.54</c:v>
                </c:pt>
                <c:pt idx="18">
                  <c:v>175.46</c:v>
                </c:pt>
                <c:pt idx="19">
                  <c:v>186.16</c:v>
                </c:pt>
              </c:numCache>
            </c:numRef>
          </c:xVal>
          <c:yVal>
            <c:numRef>
              <c:f>'Run 2 (Alex)'!$D$142:$D$161</c:f>
              <c:numCache>
                <c:formatCode>General</c:formatCode>
                <c:ptCount val="20"/>
                <c:pt idx="0">
                  <c:v>72.36</c:v>
                </c:pt>
                <c:pt idx="1">
                  <c:v>76.83</c:v>
                </c:pt>
                <c:pt idx="2">
                  <c:v>82.65</c:v>
                </c:pt>
                <c:pt idx="3">
                  <c:v>90.73</c:v>
                </c:pt>
                <c:pt idx="4">
                  <c:v>113.33</c:v>
                </c:pt>
                <c:pt idx="5">
                  <c:v>150.22999999999999</c:v>
                </c:pt>
                <c:pt idx="6">
                  <c:v>231.95</c:v>
                </c:pt>
                <c:pt idx="7">
                  <c:v>39.49</c:v>
                </c:pt>
                <c:pt idx="8">
                  <c:v>49.93</c:v>
                </c:pt>
                <c:pt idx="9">
                  <c:v>71.55</c:v>
                </c:pt>
                <c:pt idx="10">
                  <c:v>90.7</c:v>
                </c:pt>
                <c:pt idx="11">
                  <c:v>107.69</c:v>
                </c:pt>
                <c:pt idx="12">
                  <c:v>123.85</c:v>
                </c:pt>
                <c:pt idx="13">
                  <c:v>138.66</c:v>
                </c:pt>
                <c:pt idx="14">
                  <c:v>152</c:v>
                </c:pt>
                <c:pt idx="15">
                  <c:v>161.65</c:v>
                </c:pt>
                <c:pt idx="16">
                  <c:v>171.89</c:v>
                </c:pt>
                <c:pt idx="17">
                  <c:v>180.73</c:v>
                </c:pt>
                <c:pt idx="18">
                  <c:v>189.94</c:v>
                </c:pt>
                <c:pt idx="19">
                  <c:v>201.5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D8-4808-B651-9426407A86C6}"/>
            </c:ext>
          </c:extLst>
        </c:ser>
        <c:ser>
          <c:idx val="8"/>
          <c:order val="8"/>
          <c:tx>
            <c:strRef>
              <c:f>'Run 2 (Alex)'!$A$162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(Alex)'!$E$162:$E$181</c:f>
              <c:numCache>
                <c:formatCode>General</c:formatCode>
                <c:ptCount val="20"/>
                <c:pt idx="0">
                  <c:v>198.75</c:v>
                </c:pt>
                <c:pt idx="1">
                  <c:v>213.48</c:v>
                </c:pt>
                <c:pt idx="2">
                  <c:v>231.12</c:v>
                </c:pt>
                <c:pt idx="3">
                  <c:v>255.74</c:v>
                </c:pt>
                <c:pt idx="4">
                  <c:v>288.26</c:v>
                </c:pt>
                <c:pt idx="5">
                  <c:v>348.47</c:v>
                </c:pt>
                <c:pt idx="6">
                  <c:v>475.67</c:v>
                </c:pt>
                <c:pt idx="7">
                  <c:v>917.44</c:v>
                </c:pt>
                <c:pt idx="8">
                  <c:v>36.9</c:v>
                </c:pt>
                <c:pt idx="9">
                  <c:v>47.71</c:v>
                </c:pt>
                <c:pt idx="10">
                  <c:v>67.709999999999994</c:v>
                </c:pt>
                <c:pt idx="11">
                  <c:v>84.85</c:v>
                </c:pt>
                <c:pt idx="12">
                  <c:v>100.18</c:v>
                </c:pt>
                <c:pt idx="13">
                  <c:v>114.64</c:v>
                </c:pt>
                <c:pt idx="14">
                  <c:v>128.78</c:v>
                </c:pt>
                <c:pt idx="15">
                  <c:v>141.97999999999999</c:v>
                </c:pt>
                <c:pt idx="16">
                  <c:v>152.55000000000001</c:v>
                </c:pt>
                <c:pt idx="17">
                  <c:v>164.12</c:v>
                </c:pt>
                <c:pt idx="18">
                  <c:v>174.43</c:v>
                </c:pt>
                <c:pt idx="19">
                  <c:v>185.6</c:v>
                </c:pt>
              </c:numCache>
            </c:numRef>
          </c:xVal>
          <c:yVal>
            <c:numRef>
              <c:f>'Run 2 (Alex)'!$D$162:$D$181</c:f>
              <c:numCache>
                <c:formatCode>General</c:formatCode>
                <c:ptCount val="20"/>
                <c:pt idx="0">
                  <c:v>215.53</c:v>
                </c:pt>
                <c:pt idx="1">
                  <c:v>231.02</c:v>
                </c:pt>
                <c:pt idx="2">
                  <c:v>249.01</c:v>
                </c:pt>
                <c:pt idx="3">
                  <c:v>275.02999999999997</c:v>
                </c:pt>
                <c:pt idx="4">
                  <c:v>310.63</c:v>
                </c:pt>
                <c:pt idx="5">
                  <c:v>378.24</c:v>
                </c:pt>
                <c:pt idx="6">
                  <c:v>519.99</c:v>
                </c:pt>
                <c:pt idx="7">
                  <c:v>882.87</c:v>
                </c:pt>
                <c:pt idx="8">
                  <c:v>40.020000000000003</c:v>
                </c:pt>
                <c:pt idx="9">
                  <c:v>51.9</c:v>
                </c:pt>
                <c:pt idx="10">
                  <c:v>73.56</c:v>
                </c:pt>
                <c:pt idx="11">
                  <c:v>92.71</c:v>
                </c:pt>
                <c:pt idx="12">
                  <c:v>109.37</c:v>
                </c:pt>
                <c:pt idx="13">
                  <c:v>125.04</c:v>
                </c:pt>
                <c:pt idx="14">
                  <c:v>140.09</c:v>
                </c:pt>
                <c:pt idx="15">
                  <c:v>154.26</c:v>
                </c:pt>
                <c:pt idx="16">
                  <c:v>166.6</c:v>
                </c:pt>
                <c:pt idx="17">
                  <c:v>179.39</c:v>
                </c:pt>
                <c:pt idx="18">
                  <c:v>190.65</c:v>
                </c:pt>
                <c:pt idx="19">
                  <c:v>202.41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D8-4808-B651-9426407A86C6}"/>
            </c:ext>
          </c:extLst>
        </c:ser>
        <c:ser>
          <c:idx val="9"/>
          <c:order val="9"/>
          <c:tx>
            <c:strRef>
              <c:f>'Run 2 (Alex)'!$A$182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(Alex)'!$E$182:$E$201</c:f>
              <c:numCache>
                <c:formatCode>General</c:formatCode>
                <c:ptCount val="20"/>
                <c:pt idx="0">
                  <c:v>198.75</c:v>
                </c:pt>
                <c:pt idx="1">
                  <c:v>215.59</c:v>
                </c:pt>
                <c:pt idx="2">
                  <c:v>235.66</c:v>
                </c:pt>
                <c:pt idx="3">
                  <c:v>259.02999999999997</c:v>
                </c:pt>
                <c:pt idx="4">
                  <c:v>294.44</c:v>
                </c:pt>
                <c:pt idx="5">
                  <c:v>342.63</c:v>
                </c:pt>
                <c:pt idx="6">
                  <c:v>426.35</c:v>
                </c:pt>
                <c:pt idx="7">
                  <c:v>603.79</c:v>
                </c:pt>
                <c:pt idx="8">
                  <c:v>1163.71</c:v>
                </c:pt>
                <c:pt idx="9">
                  <c:v>66.97</c:v>
                </c:pt>
                <c:pt idx="10">
                  <c:v>71.66</c:v>
                </c:pt>
                <c:pt idx="11">
                  <c:v>84.86</c:v>
                </c:pt>
                <c:pt idx="12">
                  <c:v>98.95</c:v>
                </c:pt>
                <c:pt idx="13">
                  <c:v>112.86</c:v>
                </c:pt>
                <c:pt idx="14">
                  <c:v>126.68</c:v>
                </c:pt>
                <c:pt idx="15">
                  <c:v>140.09</c:v>
                </c:pt>
                <c:pt idx="16">
                  <c:v>153.22999999999999</c:v>
                </c:pt>
                <c:pt idx="17">
                  <c:v>164.24</c:v>
                </c:pt>
                <c:pt idx="18">
                  <c:v>177.65</c:v>
                </c:pt>
                <c:pt idx="19">
                  <c:v>189.21</c:v>
                </c:pt>
              </c:numCache>
            </c:numRef>
          </c:xVal>
          <c:yVal>
            <c:numRef>
              <c:f>'Run 2 (Alex)'!$D$182:$D$201</c:f>
              <c:numCache>
                <c:formatCode>General</c:formatCode>
                <c:ptCount val="20"/>
                <c:pt idx="0">
                  <c:v>217.07</c:v>
                </c:pt>
                <c:pt idx="1">
                  <c:v>235.28</c:v>
                </c:pt>
                <c:pt idx="2">
                  <c:v>256.68</c:v>
                </c:pt>
                <c:pt idx="3">
                  <c:v>281.35000000000002</c:v>
                </c:pt>
                <c:pt idx="4">
                  <c:v>319.08999999999997</c:v>
                </c:pt>
                <c:pt idx="5">
                  <c:v>369.89</c:v>
                </c:pt>
                <c:pt idx="6">
                  <c:v>458.76</c:v>
                </c:pt>
                <c:pt idx="7">
                  <c:v>645.37</c:v>
                </c:pt>
                <c:pt idx="8">
                  <c:v>1117.6600000000001</c:v>
                </c:pt>
                <c:pt idx="9">
                  <c:v>74.61</c:v>
                </c:pt>
                <c:pt idx="10">
                  <c:v>79.97</c:v>
                </c:pt>
                <c:pt idx="11">
                  <c:v>94.41</c:v>
                </c:pt>
                <c:pt idx="12">
                  <c:v>109.45</c:v>
                </c:pt>
                <c:pt idx="13">
                  <c:v>124.39</c:v>
                </c:pt>
                <c:pt idx="14">
                  <c:v>139.08000000000001</c:v>
                </c:pt>
                <c:pt idx="15">
                  <c:v>153.33000000000001</c:v>
                </c:pt>
                <c:pt idx="16">
                  <c:v>167.03</c:v>
                </c:pt>
                <c:pt idx="17">
                  <c:v>178.84</c:v>
                </c:pt>
                <c:pt idx="18">
                  <c:v>193.26</c:v>
                </c:pt>
                <c:pt idx="19">
                  <c:v>205.25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D8-4808-B651-9426407A86C6}"/>
            </c:ext>
          </c:extLst>
        </c:ser>
        <c:ser>
          <c:idx val="10"/>
          <c:order val="10"/>
          <c:tx>
            <c:strRef>
              <c:f>'Run 2 (Alex)'!$A$202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(Alex)'!$E$202:$E$221</c:f>
              <c:numCache>
                <c:formatCode>General</c:formatCode>
                <c:ptCount val="20"/>
                <c:pt idx="0">
                  <c:v>201.62</c:v>
                </c:pt>
                <c:pt idx="1">
                  <c:v>217.51</c:v>
                </c:pt>
                <c:pt idx="2">
                  <c:v>238.59</c:v>
                </c:pt>
                <c:pt idx="3">
                  <c:v>265.04000000000002</c:v>
                </c:pt>
                <c:pt idx="4">
                  <c:v>296.27999999999997</c:v>
                </c:pt>
                <c:pt idx="5">
                  <c:v>348.38</c:v>
                </c:pt>
                <c:pt idx="6">
                  <c:v>423.46</c:v>
                </c:pt>
                <c:pt idx="7">
                  <c:v>558.6</c:v>
                </c:pt>
                <c:pt idx="8">
                  <c:v>858.23</c:v>
                </c:pt>
                <c:pt idx="9">
                  <c:v>1930.82</c:v>
                </c:pt>
                <c:pt idx="10">
                  <c:v>121.95</c:v>
                </c:pt>
                <c:pt idx="11">
                  <c:v>164.8</c:v>
                </c:pt>
                <c:pt idx="12">
                  <c:v>259.99</c:v>
                </c:pt>
                <c:pt idx="13">
                  <c:v>344.39</c:v>
                </c:pt>
                <c:pt idx="14">
                  <c:v>420.56</c:v>
                </c:pt>
                <c:pt idx="15">
                  <c:v>494.55</c:v>
                </c:pt>
                <c:pt idx="16">
                  <c:v>557.5</c:v>
                </c:pt>
                <c:pt idx="17">
                  <c:v>629</c:v>
                </c:pt>
                <c:pt idx="18">
                  <c:v>670.05</c:v>
                </c:pt>
                <c:pt idx="19">
                  <c:v>758.41</c:v>
                </c:pt>
              </c:numCache>
            </c:numRef>
          </c:xVal>
          <c:yVal>
            <c:numRef>
              <c:f>'Run 2 (Alex)'!$D$202:$D$221</c:f>
              <c:numCache>
                <c:formatCode>General</c:formatCode>
                <c:ptCount val="20"/>
                <c:pt idx="0">
                  <c:v>218.23</c:v>
                </c:pt>
                <c:pt idx="1">
                  <c:v>234.84</c:v>
                </c:pt>
                <c:pt idx="2">
                  <c:v>258.01</c:v>
                </c:pt>
                <c:pt idx="3">
                  <c:v>285.10000000000002</c:v>
                </c:pt>
                <c:pt idx="4">
                  <c:v>317.77</c:v>
                </c:pt>
                <c:pt idx="5">
                  <c:v>372.1</c:v>
                </c:pt>
                <c:pt idx="6">
                  <c:v>449.45</c:v>
                </c:pt>
                <c:pt idx="7">
                  <c:v>594.28</c:v>
                </c:pt>
                <c:pt idx="8">
                  <c:v>916.82</c:v>
                </c:pt>
                <c:pt idx="9">
                  <c:v>1797.16</c:v>
                </c:pt>
                <c:pt idx="10">
                  <c:v>132.6</c:v>
                </c:pt>
                <c:pt idx="11">
                  <c:v>177.88</c:v>
                </c:pt>
                <c:pt idx="12">
                  <c:v>279.13</c:v>
                </c:pt>
                <c:pt idx="13">
                  <c:v>369.5</c:v>
                </c:pt>
                <c:pt idx="14">
                  <c:v>451.59</c:v>
                </c:pt>
                <c:pt idx="15">
                  <c:v>531.27</c:v>
                </c:pt>
                <c:pt idx="16">
                  <c:v>598</c:v>
                </c:pt>
                <c:pt idx="17">
                  <c:v>673.51</c:v>
                </c:pt>
                <c:pt idx="18">
                  <c:v>721.21</c:v>
                </c:pt>
                <c:pt idx="19">
                  <c:v>818.41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D8-4808-B651-9426407A86C6}"/>
            </c:ext>
          </c:extLst>
        </c:ser>
        <c:ser>
          <c:idx val="11"/>
          <c:order val="11"/>
          <c:tx>
            <c:strRef>
              <c:f>'Run 2 (Alex)'!$A$222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(Alex)'!$E$222:$E$241</c:f>
              <c:numCache>
                <c:formatCode>General</c:formatCode>
                <c:ptCount val="20"/>
                <c:pt idx="0">
                  <c:v>792.88</c:v>
                </c:pt>
                <c:pt idx="1">
                  <c:v>824.45</c:v>
                </c:pt>
                <c:pt idx="2">
                  <c:v>926.17</c:v>
                </c:pt>
                <c:pt idx="3">
                  <c:v>1041.32</c:v>
                </c:pt>
                <c:pt idx="4">
                  <c:v>1096.72</c:v>
                </c:pt>
                <c:pt idx="5">
                  <c:v>1160.02</c:v>
                </c:pt>
                <c:pt idx="6">
                  <c:v>1471.63</c:v>
                </c:pt>
                <c:pt idx="7">
                  <c:v>1783.62</c:v>
                </c:pt>
                <c:pt idx="8">
                  <c:v>2067.46</c:v>
                </c:pt>
                <c:pt idx="9">
                  <c:v>2785.4</c:v>
                </c:pt>
                <c:pt idx="10">
                  <c:v>4572.34</c:v>
                </c:pt>
                <c:pt idx="11">
                  <c:v>26.94</c:v>
                </c:pt>
                <c:pt idx="12">
                  <c:v>31.61</c:v>
                </c:pt>
                <c:pt idx="13">
                  <c:v>41.29</c:v>
                </c:pt>
                <c:pt idx="14">
                  <c:v>49.95</c:v>
                </c:pt>
                <c:pt idx="15">
                  <c:v>57.37</c:v>
                </c:pt>
                <c:pt idx="16">
                  <c:v>64.52</c:v>
                </c:pt>
                <c:pt idx="17">
                  <c:v>71.27</c:v>
                </c:pt>
                <c:pt idx="18">
                  <c:v>77.77</c:v>
                </c:pt>
                <c:pt idx="19">
                  <c:v>83.19</c:v>
                </c:pt>
              </c:numCache>
            </c:numRef>
          </c:xVal>
          <c:yVal>
            <c:numRef>
              <c:f>'Run 2 (Alex)'!$D$222:$D$241</c:f>
              <c:numCache>
                <c:formatCode>General</c:formatCode>
                <c:ptCount val="20"/>
                <c:pt idx="0">
                  <c:v>861</c:v>
                </c:pt>
                <c:pt idx="1">
                  <c:v>897.77</c:v>
                </c:pt>
                <c:pt idx="2">
                  <c:v>1001.88</c:v>
                </c:pt>
                <c:pt idx="3">
                  <c:v>1124.77</c:v>
                </c:pt>
                <c:pt idx="4">
                  <c:v>1186.97</c:v>
                </c:pt>
                <c:pt idx="5">
                  <c:v>1254.98</c:v>
                </c:pt>
                <c:pt idx="6">
                  <c:v>1552.28</c:v>
                </c:pt>
                <c:pt idx="7">
                  <c:v>1869.17</c:v>
                </c:pt>
                <c:pt idx="8">
                  <c:v>2144.3000000000002</c:v>
                </c:pt>
                <c:pt idx="9">
                  <c:v>2919.24</c:v>
                </c:pt>
                <c:pt idx="10">
                  <c:v>4437.1899999999996</c:v>
                </c:pt>
                <c:pt idx="11">
                  <c:v>29.61</c:v>
                </c:pt>
                <c:pt idx="12">
                  <c:v>34.93</c:v>
                </c:pt>
                <c:pt idx="13">
                  <c:v>45.85</c:v>
                </c:pt>
                <c:pt idx="14">
                  <c:v>55.37</c:v>
                </c:pt>
                <c:pt idx="15">
                  <c:v>63.67</c:v>
                </c:pt>
                <c:pt idx="16">
                  <c:v>71.69</c:v>
                </c:pt>
                <c:pt idx="17">
                  <c:v>79.12</c:v>
                </c:pt>
                <c:pt idx="18">
                  <c:v>86.07</c:v>
                </c:pt>
                <c:pt idx="19">
                  <c:v>92.09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AD8-4808-B651-9426407A8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2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2 (Alex)'!$E$2:$E$21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3855.14</c:v>
                      </c:pt>
                      <c:pt idx="1">
                        <c:v>4231.8999999999996</c:v>
                      </c:pt>
                      <c:pt idx="2">
                        <c:v>5222.58</c:v>
                      </c:pt>
                      <c:pt idx="3">
                        <c:v>6228.78</c:v>
                      </c:pt>
                      <c:pt idx="4">
                        <c:v>7158.45</c:v>
                      </c:pt>
                      <c:pt idx="5">
                        <c:v>8033.95</c:v>
                      </c:pt>
                      <c:pt idx="6">
                        <c:v>8840.34</c:v>
                      </c:pt>
                      <c:pt idx="7">
                        <c:v>9611.73</c:v>
                      </c:pt>
                      <c:pt idx="8">
                        <c:v>10243.6</c:v>
                      </c:pt>
                      <c:pt idx="9">
                        <c:v>10955.28</c:v>
                      </c:pt>
                      <c:pt idx="10">
                        <c:v>11582.32</c:v>
                      </c:pt>
                      <c:pt idx="11">
                        <c:v>12213.07</c:v>
                      </c:pt>
                      <c:pt idx="12">
                        <c:v>13012.95</c:v>
                      </c:pt>
                      <c:pt idx="13">
                        <c:v>13982.93</c:v>
                      </c:pt>
                      <c:pt idx="14">
                        <c:v>15206.37</c:v>
                      </c:pt>
                      <c:pt idx="15">
                        <c:v>16582.54</c:v>
                      </c:pt>
                      <c:pt idx="16">
                        <c:v>18746.990000000002</c:v>
                      </c:pt>
                      <c:pt idx="17">
                        <c:v>21861.33</c:v>
                      </c:pt>
                      <c:pt idx="18">
                        <c:v>27287.43</c:v>
                      </c:pt>
                      <c:pt idx="19">
                        <c:v>39363.54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2 (Alex)'!$D$2:$D$21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4303.63</c:v>
                      </c:pt>
                      <c:pt idx="1">
                        <c:v>4688.58</c:v>
                      </c:pt>
                      <c:pt idx="2">
                        <c:v>5708.44</c:v>
                      </c:pt>
                      <c:pt idx="3">
                        <c:v>6751.51</c:v>
                      </c:pt>
                      <c:pt idx="4">
                        <c:v>7735.37</c:v>
                      </c:pt>
                      <c:pt idx="5">
                        <c:v>8673.99</c:v>
                      </c:pt>
                      <c:pt idx="6">
                        <c:v>9546.5499999999993</c:v>
                      </c:pt>
                      <c:pt idx="7">
                        <c:v>10383.129999999999</c:v>
                      </c:pt>
                      <c:pt idx="8">
                        <c:v>11098.08</c:v>
                      </c:pt>
                      <c:pt idx="9">
                        <c:v>11898.83</c:v>
                      </c:pt>
                      <c:pt idx="10">
                        <c:v>12602.11</c:v>
                      </c:pt>
                      <c:pt idx="11">
                        <c:v>13303.08</c:v>
                      </c:pt>
                      <c:pt idx="12">
                        <c:v>14216.14</c:v>
                      </c:pt>
                      <c:pt idx="13">
                        <c:v>15340.71</c:v>
                      </c:pt>
                      <c:pt idx="14">
                        <c:v>16728.330000000002</c:v>
                      </c:pt>
                      <c:pt idx="15">
                        <c:v>18266.02</c:v>
                      </c:pt>
                      <c:pt idx="16">
                        <c:v>20676.28</c:v>
                      </c:pt>
                      <c:pt idx="17">
                        <c:v>24141.11</c:v>
                      </c:pt>
                      <c:pt idx="18">
                        <c:v>30194.7</c:v>
                      </c:pt>
                      <c:pt idx="19">
                        <c:v>43187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3AD8-4808-B651-9426407A86C6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'Run 2 (Alex)'!$A$22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'Run 2 (Alex)'!$E$22:$E$41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77502.03</c:v>
                      </c:pt>
                      <c:pt idx="1">
                        <c:v>15.44</c:v>
                      </c:pt>
                      <c:pt idx="2">
                        <c:v>17.399999999999999</c:v>
                      </c:pt>
                      <c:pt idx="3">
                        <c:v>21.06</c:v>
                      </c:pt>
                      <c:pt idx="4">
                        <c:v>24.22</c:v>
                      </c:pt>
                      <c:pt idx="5">
                        <c:v>26.84</c:v>
                      </c:pt>
                      <c:pt idx="6">
                        <c:v>29.41</c:v>
                      </c:pt>
                      <c:pt idx="7">
                        <c:v>31.93</c:v>
                      </c:pt>
                      <c:pt idx="8">
                        <c:v>33.74</c:v>
                      </c:pt>
                      <c:pt idx="9">
                        <c:v>35.28</c:v>
                      </c:pt>
                      <c:pt idx="10">
                        <c:v>36.89</c:v>
                      </c:pt>
                      <c:pt idx="11">
                        <c:v>38.369999999999997</c:v>
                      </c:pt>
                      <c:pt idx="12">
                        <c:v>40.159999999999997</c:v>
                      </c:pt>
                      <c:pt idx="13">
                        <c:v>42.19</c:v>
                      </c:pt>
                      <c:pt idx="14">
                        <c:v>44.55</c:v>
                      </c:pt>
                      <c:pt idx="15">
                        <c:v>47.72</c:v>
                      </c:pt>
                      <c:pt idx="16">
                        <c:v>50.85</c:v>
                      </c:pt>
                      <c:pt idx="17">
                        <c:v>54.43</c:v>
                      </c:pt>
                      <c:pt idx="18">
                        <c:v>58.84</c:v>
                      </c:pt>
                      <c:pt idx="19">
                        <c:v>67.650000000000006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'Run 2 (Alex)'!$D$22:$D$41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74650.69</c:v>
                      </c:pt>
                      <c:pt idx="1">
                        <c:v>16.670000000000002</c:v>
                      </c:pt>
                      <c:pt idx="2">
                        <c:v>19.03</c:v>
                      </c:pt>
                      <c:pt idx="3">
                        <c:v>22.99</c:v>
                      </c:pt>
                      <c:pt idx="4">
                        <c:v>26.73</c:v>
                      </c:pt>
                      <c:pt idx="5">
                        <c:v>29.58</c:v>
                      </c:pt>
                      <c:pt idx="6">
                        <c:v>32.520000000000003</c:v>
                      </c:pt>
                      <c:pt idx="7">
                        <c:v>35</c:v>
                      </c:pt>
                      <c:pt idx="8">
                        <c:v>36.82</c:v>
                      </c:pt>
                      <c:pt idx="9">
                        <c:v>38.56</c:v>
                      </c:pt>
                      <c:pt idx="10">
                        <c:v>40.049999999999997</c:v>
                      </c:pt>
                      <c:pt idx="11">
                        <c:v>41.41</c:v>
                      </c:pt>
                      <c:pt idx="12">
                        <c:v>43.26</c:v>
                      </c:pt>
                      <c:pt idx="13">
                        <c:v>45.43</c:v>
                      </c:pt>
                      <c:pt idx="14">
                        <c:v>47.86</c:v>
                      </c:pt>
                      <c:pt idx="15">
                        <c:v>50.94</c:v>
                      </c:pt>
                      <c:pt idx="16">
                        <c:v>54.28</c:v>
                      </c:pt>
                      <c:pt idx="17">
                        <c:v>57.99</c:v>
                      </c:pt>
                      <c:pt idx="18">
                        <c:v>62.63</c:v>
                      </c:pt>
                      <c:pt idx="19">
                        <c:v>72.44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AD8-4808-B651-9426407A86C6}"/>
                  </c:ext>
                </c:extLst>
              </c15:ser>
            </c15:filteredScatterSeries>
          </c:ext>
        </c:extLst>
      </c:scatterChart>
      <c:valAx>
        <c:axId val="1231546240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911469717713879"/>
              <c:y val="0.91272846833670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7717915814386207"/>
        </c:manualLayout>
      </c:layout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('Run 2 (Alex)'!$E$2:$E$21,'Run 2 (Alex)'!$E$42:$E$61,'Run 2 (Alex)'!$E$102:$E$121,'Run 2 (Alex)'!$E$182:$E$201)</c:f>
              <c:numCache>
                <c:formatCode>General</c:formatCode>
                <c:ptCount val="80"/>
                <c:pt idx="0">
                  <c:v>3855.14</c:v>
                </c:pt>
                <c:pt idx="1">
                  <c:v>4231.8999999999996</c:v>
                </c:pt>
                <c:pt idx="2">
                  <c:v>5222.58</c:v>
                </c:pt>
                <c:pt idx="3">
                  <c:v>6228.78</c:v>
                </c:pt>
                <c:pt idx="4">
                  <c:v>7158.45</c:v>
                </c:pt>
                <c:pt idx="5">
                  <c:v>8033.95</c:v>
                </c:pt>
                <c:pt idx="6">
                  <c:v>8840.34</c:v>
                </c:pt>
                <c:pt idx="7">
                  <c:v>9611.73</c:v>
                </c:pt>
                <c:pt idx="8">
                  <c:v>10243.6</c:v>
                </c:pt>
                <c:pt idx="9">
                  <c:v>10955.28</c:v>
                </c:pt>
                <c:pt idx="10">
                  <c:v>11582.32</c:v>
                </c:pt>
                <c:pt idx="11">
                  <c:v>12213.07</c:v>
                </c:pt>
                <c:pt idx="12">
                  <c:v>13012.95</c:v>
                </c:pt>
                <c:pt idx="13">
                  <c:v>13982.93</c:v>
                </c:pt>
                <c:pt idx="14">
                  <c:v>15206.37</c:v>
                </c:pt>
                <c:pt idx="15">
                  <c:v>16582.54</c:v>
                </c:pt>
                <c:pt idx="16">
                  <c:v>18746.990000000002</c:v>
                </c:pt>
                <c:pt idx="17">
                  <c:v>21861.33</c:v>
                </c:pt>
                <c:pt idx="18">
                  <c:v>27287.43</c:v>
                </c:pt>
                <c:pt idx="19">
                  <c:v>39363.54</c:v>
                </c:pt>
                <c:pt idx="20">
                  <c:v>83.53</c:v>
                </c:pt>
                <c:pt idx="21">
                  <c:v>127.54</c:v>
                </c:pt>
                <c:pt idx="22">
                  <c:v>29.48</c:v>
                </c:pt>
                <c:pt idx="23">
                  <c:v>38.08</c:v>
                </c:pt>
                <c:pt idx="24">
                  <c:v>55.05</c:v>
                </c:pt>
                <c:pt idx="25">
                  <c:v>69.38</c:v>
                </c:pt>
                <c:pt idx="26">
                  <c:v>82.16</c:v>
                </c:pt>
                <c:pt idx="27">
                  <c:v>93.72</c:v>
                </c:pt>
                <c:pt idx="28">
                  <c:v>104.3</c:v>
                </c:pt>
                <c:pt idx="29">
                  <c:v>114.69</c:v>
                </c:pt>
                <c:pt idx="30">
                  <c:v>122.64</c:v>
                </c:pt>
                <c:pt idx="31">
                  <c:v>131.59</c:v>
                </c:pt>
                <c:pt idx="32">
                  <c:v>139.16999999999999</c:v>
                </c:pt>
                <c:pt idx="33">
                  <c:v>147.19999999999999</c:v>
                </c:pt>
                <c:pt idx="34">
                  <c:v>157.18</c:v>
                </c:pt>
                <c:pt idx="35">
                  <c:v>169.39</c:v>
                </c:pt>
                <c:pt idx="36">
                  <c:v>184.4</c:v>
                </c:pt>
                <c:pt idx="37">
                  <c:v>201.78</c:v>
                </c:pt>
                <c:pt idx="38">
                  <c:v>229.03</c:v>
                </c:pt>
                <c:pt idx="39">
                  <c:v>266.33</c:v>
                </c:pt>
                <c:pt idx="40">
                  <c:v>547.5</c:v>
                </c:pt>
                <c:pt idx="41">
                  <c:v>590.63</c:v>
                </c:pt>
                <c:pt idx="42">
                  <c:v>798.17</c:v>
                </c:pt>
                <c:pt idx="43">
                  <c:v>1053.76</c:v>
                </c:pt>
                <c:pt idx="44">
                  <c:v>1976.48</c:v>
                </c:pt>
                <c:pt idx="45">
                  <c:v>7.5</c:v>
                </c:pt>
                <c:pt idx="46">
                  <c:v>8.7899999999999991</c:v>
                </c:pt>
                <c:pt idx="47">
                  <c:v>12.67</c:v>
                </c:pt>
                <c:pt idx="48">
                  <c:v>16.41</c:v>
                </c:pt>
                <c:pt idx="49">
                  <c:v>19.899999999999999</c:v>
                </c:pt>
                <c:pt idx="50">
                  <c:v>23.1</c:v>
                </c:pt>
                <c:pt idx="51">
                  <c:v>25.94</c:v>
                </c:pt>
                <c:pt idx="52">
                  <c:v>28.79</c:v>
                </c:pt>
                <c:pt idx="53">
                  <c:v>30.99</c:v>
                </c:pt>
                <c:pt idx="54">
                  <c:v>33.57</c:v>
                </c:pt>
                <c:pt idx="55">
                  <c:v>35.74</c:v>
                </c:pt>
                <c:pt idx="56">
                  <c:v>38.06</c:v>
                </c:pt>
                <c:pt idx="57">
                  <c:v>41.02</c:v>
                </c:pt>
                <c:pt idx="58">
                  <c:v>44.51</c:v>
                </c:pt>
                <c:pt idx="59">
                  <c:v>48.73</c:v>
                </c:pt>
                <c:pt idx="60">
                  <c:v>198.75</c:v>
                </c:pt>
                <c:pt idx="61">
                  <c:v>215.59</c:v>
                </c:pt>
                <c:pt idx="62">
                  <c:v>235.66</c:v>
                </c:pt>
                <c:pt idx="63">
                  <c:v>259.02999999999997</c:v>
                </c:pt>
                <c:pt idx="64">
                  <c:v>294.44</c:v>
                </c:pt>
                <c:pt idx="65">
                  <c:v>342.63</c:v>
                </c:pt>
                <c:pt idx="66">
                  <c:v>426.35</c:v>
                </c:pt>
                <c:pt idx="67">
                  <c:v>603.79</c:v>
                </c:pt>
                <c:pt idx="68">
                  <c:v>1163.71</c:v>
                </c:pt>
                <c:pt idx="69">
                  <c:v>66.97</c:v>
                </c:pt>
                <c:pt idx="70">
                  <c:v>71.66</c:v>
                </c:pt>
                <c:pt idx="71">
                  <c:v>84.86</c:v>
                </c:pt>
                <c:pt idx="72">
                  <c:v>98.95</c:v>
                </c:pt>
                <c:pt idx="73">
                  <c:v>112.86</c:v>
                </c:pt>
                <c:pt idx="74">
                  <c:v>126.68</c:v>
                </c:pt>
                <c:pt idx="75">
                  <c:v>140.09</c:v>
                </c:pt>
                <c:pt idx="76">
                  <c:v>153.22999999999999</c:v>
                </c:pt>
                <c:pt idx="77">
                  <c:v>164.24</c:v>
                </c:pt>
                <c:pt idx="78">
                  <c:v>177.65</c:v>
                </c:pt>
                <c:pt idx="79">
                  <c:v>189.21</c:v>
                </c:pt>
              </c:numCache>
            </c:numRef>
          </c:xVal>
          <c:yVal>
            <c:numRef>
              <c:f>'Run 2 (Alex)'!$D$23:$D$241</c:f>
              <c:numCache>
                <c:formatCode>General</c:formatCode>
                <c:ptCount val="219"/>
                <c:pt idx="0">
                  <c:v>16.670000000000002</c:v>
                </c:pt>
                <c:pt idx="1">
                  <c:v>19.03</c:v>
                </c:pt>
                <c:pt idx="2">
                  <c:v>22.99</c:v>
                </c:pt>
                <c:pt idx="3">
                  <c:v>26.73</c:v>
                </c:pt>
                <c:pt idx="4">
                  <c:v>29.58</c:v>
                </c:pt>
                <c:pt idx="5">
                  <c:v>32.520000000000003</c:v>
                </c:pt>
                <c:pt idx="6">
                  <c:v>35</c:v>
                </c:pt>
                <c:pt idx="7">
                  <c:v>36.82</c:v>
                </c:pt>
                <c:pt idx="8">
                  <c:v>38.56</c:v>
                </c:pt>
                <c:pt idx="9">
                  <c:v>40.049999999999997</c:v>
                </c:pt>
                <c:pt idx="10">
                  <c:v>41.41</c:v>
                </c:pt>
                <c:pt idx="11">
                  <c:v>43.26</c:v>
                </c:pt>
                <c:pt idx="12">
                  <c:v>45.43</c:v>
                </c:pt>
                <c:pt idx="13">
                  <c:v>47.86</c:v>
                </c:pt>
                <c:pt idx="14">
                  <c:v>50.94</c:v>
                </c:pt>
                <c:pt idx="15">
                  <c:v>54.28</c:v>
                </c:pt>
                <c:pt idx="16">
                  <c:v>57.99</c:v>
                </c:pt>
                <c:pt idx="17">
                  <c:v>62.63</c:v>
                </c:pt>
                <c:pt idx="18">
                  <c:v>72.44</c:v>
                </c:pt>
                <c:pt idx="19">
                  <c:v>90.01</c:v>
                </c:pt>
                <c:pt idx="20">
                  <c:v>126.99</c:v>
                </c:pt>
                <c:pt idx="21">
                  <c:v>32.520000000000003</c:v>
                </c:pt>
                <c:pt idx="22">
                  <c:v>42</c:v>
                </c:pt>
                <c:pt idx="23">
                  <c:v>60.52</c:v>
                </c:pt>
                <c:pt idx="24">
                  <c:v>76.319999999999993</c:v>
                </c:pt>
                <c:pt idx="25">
                  <c:v>90.44</c:v>
                </c:pt>
                <c:pt idx="26">
                  <c:v>103.22</c:v>
                </c:pt>
                <c:pt idx="27">
                  <c:v>114.72</c:v>
                </c:pt>
                <c:pt idx="28">
                  <c:v>125.88</c:v>
                </c:pt>
                <c:pt idx="29">
                  <c:v>134.72999999999999</c:v>
                </c:pt>
                <c:pt idx="30">
                  <c:v>144.65</c:v>
                </c:pt>
                <c:pt idx="31">
                  <c:v>152.96</c:v>
                </c:pt>
                <c:pt idx="32">
                  <c:v>161.75</c:v>
                </c:pt>
                <c:pt idx="33">
                  <c:v>172.79</c:v>
                </c:pt>
                <c:pt idx="34">
                  <c:v>186.25</c:v>
                </c:pt>
                <c:pt idx="35">
                  <c:v>202.7</c:v>
                </c:pt>
                <c:pt idx="36">
                  <c:v>221.25</c:v>
                </c:pt>
                <c:pt idx="37">
                  <c:v>250.31</c:v>
                </c:pt>
                <c:pt idx="38">
                  <c:v>290.05</c:v>
                </c:pt>
                <c:pt idx="39">
                  <c:v>359.88</c:v>
                </c:pt>
                <c:pt idx="40">
                  <c:v>506.14</c:v>
                </c:pt>
                <c:pt idx="41">
                  <c:v>845.84</c:v>
                </c:pt>
                <c:pt idx="42">
                  <c:v>106.62</c:v>
                </c:pt>
                <c:pt idx="43">
                  <c:v>134.97</c:v>
                </c:pt>
                <c:pt idx="44">
                  <c:v>193.03</c:v>
                </c:pt>
                <c:pt idx="45">
                  <c:v>239.38</c:v>
                </c:pt>
                <c:pt idx="46">
                  <c:v>280.44</c:v>
                </c:pt>
                <c:pt idx="47">
                  <c:v>320.19</c:v>
                </c:pt>
                <c:pt idx="48">
                  <c:v>354.61</c:v>
                </c:pt>
                <c:pt idx="49">
                  <c:v>411.1</c:v>
                </c:pt>
                <c:pt idx="50">
                  <c:v>431.21</c:v>
                </c:pt>
                <c:pt idx="51">
                  <c:v>450.81</c:v>
                </c:pt>
                <c:pt idx="52">
                  <c:v>470.45</c:v>
                </c:pt>
                <c:pt idx="53">
                  <c:v>495.07</c:v>
                </c:pt>
                <c:pt idx="54">
                  <c:v>654.36</c:v>
                </c:pt>
                <c:pt idx="55">
                  <c:v>773.47</c:v>
                </c:pt>
                <c:pt idx="56">
                  <c:v>817.89</c:v>
                </c:pt>
                <c:pt idx="57">
                  <c:v>869.21</c:v>
                </c:pt>
                <c:pt idx="58">
                  <c:v>926.88</c:v>
                </c:pt>
                <c:pt idx="59">
                  <c:v>1006</c:v>
                </c:pt>
                <c:pt idx="60">
                  <c:v>1280.48</c:v>
                </c:pt>
                <c:pt idx="61">
                  <c:v>1711.77</c:v>
                </c:pt>
                <c:pt idx="62">
                  <c:v>2640.3</c:v>
                </c:pt>
                <c:pt idx="63">
                  <c:v>89.84</c:v>
                </c:pt>
                <c:pt idx="64">
                  <c:v>93.56</c:v>
                </c:pt>
                <c:pt idx="65">
                  <c:v>101.23</c:v>
                </c:pt>
                <c:pt idx="66">
                  <c:v>109.58</c:v>
                </c:pt>
                <c:pt idx="67">
                  <c:v>119.55</c:v>
                </c:pt>
                <c:pt idx="68">
                  <c:v>130.86000000000001</c:v>
                </c:pt>
                <c:pt idx="69">
                  <c:v>151.05000000000001</c:v>
                </c:pt>
                <c:pt idx="70">
                  <c:v>185.39</c:v>
                </c:pt>
                <c:pt idx="71">
                  <c:v>192.33</c:v>
                </c:pt>
                <c:pt idx="72">
                  <c:v>198.28</c:v>
                </c:pt>
                <c:pt idx="73">
                  <c:v>204.26</c:v>
                </c:pt>
                <c:pt idx="74">
                  <c:v>218.52</c:v>
                </c:pt>
                <c:pt idx="75">
                  <c:v>424.65</c:v>
                </c:pt>
                <c:pt idx="76">
                  <c:v>523.47</c:v>
                </c:pt>
                <c:pt idx="77">
                  <c:v>540.89</c:v>
                </c:pt>
                <c:pt idx="78">
                  <c:v>569.67999999999995</c:v>
                </c:pt>
                <c:pt idx="79">
                  <c:v>593.29999999999995</c:v>
                </c:pt>
                <c:pt idx="80">
                  <c:v>629.44000000000005</c:v>
                </c:pt>
                <c:pt idx="81">
                  <c:v>844.01</c:v>
                </c:pt>
                <c:pt idx="82">
                  <c:v>1143.49</c:v>
                </c:pt>
                <c:pt idx="83">
                  <c:v>1803.15</c:v>
                </c:pt>
                <c:pt idx="84">
                  <c:v>8.2899999999999991</c:v>
                </c:pt>
                <c:pt idx="85">
                  <c:v>9.67</c:v>
                </c:pt>
                <c:pt idx="86">
                  <c:v>14.07</c:v>
                </c:pt>
                <c:pt idx="87">
                  <c:v>17.93</c:v>
                </c:pt>
                <c:pt idx="88">
                  <c:v>21.81</c:v>
                </c:pt>
                <c:pt idx="89">
                  <c:v>25.22</c:v>
                </c:pt>
                <c:pt idx="90">
                  <c:v>28.32</c:v>
                </c:pt>
                <c:pt idx="91">
                  <c:v>31.26</c:v>
                </c:pt>
                <c:pt idx="92">
                  <c:v>33.590000000000003</c:v>
                </c:pt>
                <c:pt idx="93">
                  <c:v>36.33</c:v>
                </c:pt>
                <c:pt idx="94">
                  <c:v>38.74</c:v>
                </c:pt>
                <c:pt idx="95">
                  <c:v>41.14</c:v>
                </c:pt>
                <c:pt idx="96">
                  <c:v>44.14</c:v>
                </c:pt>
                <c:pt idx="97">
                  <c:v>47.93</c:v>
                </c:pt>
                <c:pt idx="98">
                  <c:v>52.13</c:v>
                </c:pt>
                <c:pt idx="99">
                  <c:v>57.09</c:v>
                </c:pt>
                <c:pt idx="100">
                  <c:v>64.739999999999995</c:v>
                </c:pt>
                <c:pt idx="101">
                  <c:v>75.010000000000005</c:v>
                </c:pt>
                <c:pt idx="102">
                  <c:v>92.31</c:v>
                </c:pt>
                <c:pt idx="103">
                  <c:v>127.85</c:v>
                </c:pt>
                <c:pt idx="104">
                  <c:v>213.55</c:v>
                </c:pt>
                <c:pt idx="105">
                  <c:v>13.83</c:v>
                </c:pt>
                <c:pt idx="106">
                  <c:v>16.600000000000001</c:v>
                </c:pt>
                <c:pt idx="107">
                  <c:v>22.16</c:v>
                </c:pt>
                <c:pt idx="108">
                  <c:v>26.74</c:v>
                </c:pt>
                <c:pt idx="109">
                  <c:v>31.24</c:v>
                </c:pt>
                <c:pt idx="110">
                  <c:v>35.08</c:v>
                </c:pt>
                <c:pt idx="111">
                  <c:v>38.619999999999997</c:v>
                </c:pt>
                <c:pt idx="112">
                  <c:v>43.51</c:v>
                </c:pt>
                <c:pt idx="113">
                  <c:v>45.42</c:v>
                </c:pt>
                <c:pt idx="114">
                  <c:v>47.27</c:v>
                </c:pt>
                <c:pt idx="115">
                  <c:v>49.11</c:v>
                </c:pt>
                <c:pt idx="116">
                  <c:v>51.32</c:v>
                </c:pt>
                <c:pt idx="117">
                  <c:v>60.87</c:v>
                </c:pt>
                <c:pt idx="118">
                  <c:v>68.45</c:v>
                </c:pt>
                <c:pt idx="119">
                  <c:v>72.36</c:v>
                </c:pt>
                <c:pt idx="120">
                  <c:v>76.83</c:v>
                </c:pt>
                <c:pt idx="121">
                  <c:v>82.65</c:v>
                </c:pt>
                <c:pt idx="122">
                  <c:v>90.73</c:v>
                </c:pt>
                <c:pt idx="123">
                  <c:v>113.33</c:v>
                </c:pt>
                <c:pt idx="124">
                  <c:v>150.22999999999999</c:v>
                </c:pt>
                <c:pt idx="125">
                  <c:v>231.95</c:v>
                </c:pt>
                <c:pt idx="126">
                  <c:v>39.49</c:v>
                </c:pt>
                <c:pt idx="127">
                  <c:v>49.93</c:v>
                </c:pt>
                <c:pt idx="128">
                  <c:v>71.55</c:v>
                </c:pt>
                <c:pt idx="129">
                  <c:v>90.7</c:v>
                </c:pt>
                <c:pt idx="130">
                  <c:v>107.69</c:v>
                </c:pt>
                <c:pt idx="131">
                  <c:v>123.85</c:v>
                </c:pt>
                <c:pt idx="132">
                  <c:v>138.66</c:v>
                </c:pt>
                <c:pt idx="133">
                  <c:v>152</c:v>
                </c:pt>
                <c:pt idx="134">
                  <c:v>161.65</c:v>
                </c:pt>
                <c:pt idx="135">
                  <c:v>171.89</c:v>
                </c:pt>
                <c:pt idx="136">
                  <c:v>180.73</c:v>
                </c:pt>
                <c:pt idx="137">
                  <c:v>189.94</c:v>
                </c:pt>
                <c:pt idx="138">
                  <c:v>201.5</c:v>
                </c:pt>
                <c:pt idx="139">
                  <c:v>215.53</c:v>
                </c:pt>
                <c:pt idx="140">
                  <c:v>231.02</c:v>
                </c:pt>
                <c:pt idx="141">
                  <c:v>249.01</c:v>
                </c:pt>
                <c:pt idx="142">
                  <c:v>275.02999999999997</c:v>
                </c:pt>
                <c:pt idx="143">
                  <c:v>310.63</c:v>
                </c:pt>
                <c:pt idx="144">
                  <c:v>378.24</c:v>
                </c:pt>
                <c:pt idx="145">
                  <c:v>519.99</c:v>
                </c:pt>
                <c:pt idx="146">
                  <c:v>882.87</c:v>
                </c:pt>
                <c:pt idx="147">
                  <c:v>40.020000000000003</c:v>
                </c:pt>
                <c:pt idx="148">
                  <c:v>51.9</c:v>
                </c:pt>
                <c:pt idx="149">
                  <c:v>73.56</c:v>
                </c:pt>
                <c:pt idx="150">
                  <c:v>92.71</c:v>
                </c:pt>
                <c:pt idx="151">
                  <c:v>109.37</c:v>
                </c:pt>
                <c:pt idx="152">
                  <c:v>125.04</c:v>
                </c:pt>
                <c:pt idx="153">
                  <c:v>140.09</c:v>
                </c:pt>
                <c:pt idx="154">
                  <c:v>154.26</c:v>
                </c:pt>
                <c:pt idx="155">
                  <c:v>166.6</c:v>
                </c:pt>
                <c:pt idx="156">
                  <c:v>179.39</c:v>
                </c:pt>
                <c:pt idx="157">
                  <c:v>190.65</c:v>
                </c:pt>
                <c:pt idx="158">
                  <c:v>202.41</c:v>
                </c:pt>
                <c:pt idx="159">
                  <c:v>217.07</c:v>
                </c:pt>
                <c:pt idx="160">
                  <c:v>235.28</c:v>
                </c:pt>
                <c:pt idx="161">
                  <c:v>256.68</c:v>
                </c:pt>
                <c:pt idx="162">
                  <c:v>281.35000000000002</c:v>
                </c:pt>
                <c:pt idx="163">
                  <c:v>319.08999999999997</c:v>
                </c:pt>
                <c:pt idx="164">
                  <c:v>369.89</c:v>
                </c:pt>
                <c:pt idx="165">
                  <c:v>458.76</c:v>
                </c:pt>
                <c:pt idx="166">
                  <c:v>645.37</c:v>
                </c:pt>
                <c:pt idx="167">
                  <c:v>1117.6600000000001</c:v>
                </c:pt>
                <c:pt idx="168">
                  <c:v>74.61</c:v>
                </c:pt>
                <c:pt idx="169">
                  <c:v>79.97</c:v>
                </c:pt>
                <c:pt idx="170">
                  <c:v>94.41</c:v>
                </c:pt>
                <c:pt idx="171">
                  <c:v>109.45</c:v>
                </c:pt>
                <c:pt idx="172">
                  <c:v>124.39</c:v>
                </c:pt>
                <c:pt idx="173">
                  <c:v>139.08000000000001</c:v>
                </c:pt>
                <c:pt idx="174">
                  <c:v>153.33000000000001</c:v>
                </c:pt>
                <c:pt idx="175">
                  <c:v>167.03</c:v>
                </c:pt>
                <c:pt idx="176">
                  <c:v>178.84</c:v>
                </c:pt>
                <c:pt idx="177">
                  <c:v>193.26</c:v>
                </c:pt>
                <c:pt idx="178">
                  <c:v>205.25</c:v>
                </c:pt>
                <c:pt idx="179">
                  <c:v>218.23</c:v>
                </c:pt>
                <c:pt idx="180">
                  <c:v>234.84</c:v>
                </c:pt>
                <c:pt idx="181">
                  <c:v>258.01</c:v>
                </c:pt>
                <c:pt idx="182">
                  <c:v>285.10000000000002</c:v>
                </c:pt>
                <c:pt idx="183">
                  <c:v>317.77</c:v>
                </c:pt>
                <c:pt idx="184">
                  <c:v>372.1</c:v>
                </c:pt>
                <c:pt idx="185">
                  <c:v>449.45</c:v>
                </c:pt>
                <c:pt idx="186">
                  <c:v>594.28</c:v>
                </c:pt>
                <c:pt idx="187">
                  <c:v>916.82</c:v>
                </c:pt>
                <c:pt idx="188">
                  <c:v>1797.16</c:v>
                </c:pt>
                <c:pt idx="189">
                  <c:v>132.6</c:v>
                </c:pt>
                <c:pt idx="190">
                  <c:v>177.88</c:v>
                </c:pt>
                <c:pt idx="191">
                  <c:v>279.13</c:v>
                </c:pt>
                <c:pt idx="192">
                  <c:v>369.5</c:v>
                </c:pt>
                <c:pt idx="193">
                  <c:v>451.59</c:v>
                </c:pt>
                <c:pt idx="194">
                  <c:v>531.27</c:v>
                </c:pt>
                <c:pt idx="195">
                  <c:v>598</c:v>
                </c:pt>
                <c:pt idx="196">
                  <c:v>673.51</c:v>
                </c:pt>
                <c:pt idx="197">
                  <c:v>721.21</c:v>
                </c:pt>
                <c:pt idx="198">
                  <c:v>818.41</c:v>
                </c:pt>
                <c:pt idx="199">
                  <c:v>861</c:v>
                </c:pt>
                <c:pt idx="200">
                  <c:v>897.77</c:v>
                </c:pt>
                <c:pt idx="201">
                  <c:v>1001.88</c:v>
                </c:pt>
                <c:pt idx="202">
                  <c:v>1124.77</c:v>
                </c:pt>
                <c:pt idx="203">
                  <c:v>1186.97</c:v>
                </c:pt>
                <c:pt idx="204">
                  <c:v>1254.98</c:v>
                </c:pt>
                <c:pt idx="205">
                  <c:v>1552.28</c:v>
                </c:pt>
                <c:pt idx="206">
                  <c:v>1869.17</c:v>
                </c:pt>
                <c:pt idx="207">
                  <c:v>2144.3000000000002</c:v>
                </c:pt>
                <c:pt idx="208">
                  <c:v>2919.24</c:v>
                </c:pt>
                <c:pt idx="209">
                  <c:v>4437.1899999999996</c:v>
                </c:pt>
                <c:pt idx="210">
                  <c:v>29.61</c:v>
                </c:pt>
                <c:pt idx="211">
                  <c:v>34.93</c:v>
                </c:pt>
                <c:pt idx="212">
                  <c:v>45.85</c:v>
                </c:pt>
                <c:pt idx="213">
                  <c:v>55.37</c:v>
                </c:pt>
                <c:pt idx="214">
                  <c:v>63.67</c:v>
                </c:pt>
                <c:pt idx="215">
                  <c:v>71.69</c:v>
                </c:pt>
                <c:pt idx="216">
                  <c:v>79.12</c:v>
                </c:pt>
                <c:pt idx="217">
                  <c:v>86.07</c:v>
                </c:pt>
                <c:pt idx="218">
                  <c:v>92.09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6-48E2-922A-9B1CF4FAEEDA}"/>
            </c:ext>
          </c:extLst>
        </c:ser>
        <c:ser>
          <c:idx val="2"/>
          <c:order val="1"/>
          <c:spPr>
            <a:ln w="38100">
              <a:noFill/>
            </a:ln>
          </c:spPr>
          <c:xVal>
            <c:numRef>
              <c:f>('Run 2 (Alex)'!$E$22:$E$41,'Run 2 (Alex)'!$E$62:$E$81,'Run 2 (Alex)'!$E$82:$E$101,'Run 2 (Alex)'!$E$122:$E$141,'Run 2 (Alex)'!$E$142:$E$181,'Run 2 (Alex)'!$E$202:$E$241)</c:f>
              <c:numCache>
                <c:formatCode>General</c:formatCode>
                <c:ptCount val="160"/>
                <c:pt idx="0">
                  <c:v>77502.03</c:v>
                </c:pt>
                <c:pt idx="1">
                  <c:v>15.44</c:v>
                </c:pt>
                <c:pt idx="2">
                  <c:v>17.399999999999999</c:v>
                </c:pt>
                <c:pt idx="3">
                  <c:v>21.06</c:v>
                </c:pt>
                <c:pt idx="4">
                  <c:v>24.22</c:v>
                </c:pt>
                <c:pt idx="5">
                  <c:v>26.84</c:v>
                </c:pt>
                <c:pt idx="6">
                  <c:v>29.41</c:v>
                </c:pt>
                <c:pt idx="7">
                  <c:v>31.93</c:v>
                </c:pt>
                <c:pt idx="8">
                  <c:v>33.74</c:v>
                </c:pt>
                <c:pt idx="9">
                  <c:v>35.28</c:v>
                </c:pt>
                <c:pt idx="10">
                  <c:v>36.89</c:v>
                </c:pt>
                <c:pt idx="11">
                  <c:v>38.369999999999997</c:v>
                </c:pt>
                <c:pt idx="12">
                  <c:v>40.159999999999997</c:v>
                </c:pt>
                <c:pt idx="13">
                  <c:v>42.19</c:v>
                </c:pt>
                <c:pt idx="14">
                  <c:v>44.55</c:v>
                </c:pt>
                <c:pt idx="15">
                  <c:v>47.72</c:v>
                </c:pt>
                <c:pt idx="16">
                  <c:v>50.85</c:v>
                </c:pt>
                <c:pt idx="17">
                  <c:v>54.43</c:v>
                </c:pt>
                <c:pt idx="18">
                  <c:v>58.84</c:v>
                </c:pt>
                <c:pt idx="19">
                  <c:v>67.650000000000006</c:v>
                </c:pt>
                <c:pt idx="20">
                  <c:v>330.88</c:v>
                </c:pt>
                <c:pt idx="21">
                  <c:v>468.31</c:v>
                </c:pt>
                <c:pt idx="22">
                  <c:v>877.97</c:v>
                </c:pt>
                <c:pt idx="23">
                  <c:v>97</c:v>
                </c:pt>
                <c:pt idx="24">
                  <c:v>123.57</c:v>
                </c:pt>
                <c:pt idx="25">
                  <c:v>178.4</c:v>
                </c:pt>
                <c:pt idx="26">
                  <c:v>221.13</c:v>
                </c:pt>
                <c:pt idx="27">
                  <c:v>258.18</c:v>
                </c:pt>
                <c:pt idx="28">
                  <c:v>294.3</c:v>
                </c:pt>
                <c:pt idx="29">
                  <c:v>326.39999999999998</c:v>
                </c:pt>
                <c:pt idx="30">
                  <c:v>379.33</c:v>
                </c:pt>
                <c:pt idx="31">
                  <c:v>396.7</c:v>
                </c:pt>
                <c:pt idx="32">
                  <c:v>412</c:v>
                </c:pt>
                <c:pt idx="33">
                  <c:v>428.34</c:v>
                </c:pt>
                <c:pt idx="34">
                  <c:v>451.68</c:v>
                </c:pt>
                <c:pt idx="35">
                  <c:v>614.88</c:v>
                </c:pt>
                <c:pt idx="36">
                  <c:v>720.99</c:v>
                </c:pt>
                <c:pt idx="37">
                  <c:v>759.79</c:v>
                </c:pt>
                <c:pt idx="38">
                  <c:v>803.81</c:v>
                </c:pt>
                <c:pt idx="39">
                  <c:v>855.83</c:v>
                </c:pt>
                <c:pt idx="40">
                  <c:v>935.07</c:v>
                </c:pt>
                <c:pt idx="41">
                  <c:v>1201.25</c:v>
                </c:pt>
                <c:pt idx="42">
                  <c:v>1583.61</c:v>
                </c:pt>
                <c:pt idx="43">
                  <c:v>2812.44</c:v>
                </c:pt>
                <c:pt idx="44">
                  <c:v>80.63</c:v>
                </c:pt>
                <c:pt idx="45">
                  <c:v>83.7</c:v>
                </c:pt>
                <c:pt idx="46">
                  <c:v>90.95</c:v>
                </c:pt>
                <c:pt idx="47">
                  <c:v>97.94</c:v>
                </c:pt>
                <c:pt idx="48">
                  <c:v>107.17</c:v>
                </c:pt>
                <c:pt idx="49">
                  <c:v>116.69</c:v>
                </c:pt>
                <c:pt idx="50">
                  <c:v>136.57</c:v>
                </c:pt>
                <c:pt idx="51">
                  <c:v>169.46</c:v>
                </c:pt>
                <c:pt idx="52">
                  <c:v>174.5</c:v>
                </c:pt>
                <c:pt idx="53">
                  <c:v>177.78</c:v>
                </c:pt>
                <c:pt idx="54">
                  <c:v>181.53</c:v>
                </c:pt>
                <c:pt idx="55">
                  <c:v>197.41</c:v>
                </c:pt>
                <c:pt idx="56">
                  <c:v>411.47</c:v>
                </c:pt>
                <c:pt idx="57">
                  <c:v>496.21</c:v>
                </c:pt>
                <c:pt idx="58">
                  <c:v>507.11</c:v>
                </c:pt>
                <c:pt idx="59">
                  <c:v>526.52</c:v>
                </c:pt>
                <c:pt idx="60">
                  <c:v>53.46</c:v>
                </c:pt>
                <c:pt idx="61">
                  <c:v>60.85</c:v>
                </c:pt>
                <c:pt idx="62">
                  <c:v>70.930000000000007</c:v>
                </c:pt>
                <c:pt idx="63">
                  <c:v>87.36</c:v>
                </c:pt>
                <c:pt idx="64">
                  <c:v>120.82</c:v>
                </c:pt>
                <c:pt idx="65">
                  <c:v>218.14</c:v>
                </c:pt>
                <c:pt idx="66">
                  <c:v>12.46</c:v>
                </c:pt>
                <c:pt idx="67">
                  <c:v>14.52</c:v>
                </c:pt>
                <c:pt idx="68">
                  <c:v>19.36</c:v>
                </c:pt>
                <c:pt idx="69">
                  <c:v>23.2</c:v>
                </c:pt>
                <c:pt idx="70">
                  <c:v>27.03</c:v>
                </c:pt>
                <c:pt idx="71">
                  <c:v>30.16</c:v>
                </c:pt>
                <c:pt idx="72">
                  <c:v>33.47</c:v>
                </c:pt>
                <c:pt idx="73">
                  <c:v>37.68</c:v>
                </c:pt>
                <c:pt idx="74">
                  <c:v>39.11</c:v>
                </c:pt>
                <c:pt idx="75">
                  <c:v>40.619999999999997</c:v>
                </c:pt>
                <c:pt idx="76">
                  <c:v>42.18</c:v>
                </c:pt>
                <c:pt idx="77">
                  <c:v>44.29</c:v>
                </c:pt>
                <c:pt idx="78">
                  <c:v>53.72</c:v>
                </c:pt>
                <c:pt idx="79">
                  <c:v>60.18</c:v>
                </c:pt>
                <c:pt idx="80">
                  <c:v>63.32</c:v>
                </c:pt>
                <c:pt idx="81">
                  <c:v>67.239999999999995</c:v>
                </c:pt>
                <c:pt idx="82">
                  <c:v>72.150000000000006</c:v>
                </c:pt>
                <c:pt idx="83">
                  <c:v>79.27</c:v>
                </c:pt>
                <c:pt idx="84">
                  <c:v>99.38</c:v>
                </c:pt>
                <c:pt idx="85">
                  <c:v>131.32</c:v>
                </c:pt>
                <c:pt idx="86">
                  <c:v>251.94</c:v>
                </c:pt>
                <c:pt idx="87">
                  <c:v>36.19</c:v>
                </c:pt>
                <c:pt idx="88">
                  <c:v>45.39</c:v>
                </c:pt>
                <c:pt idx="89">
                  <c:v>64.489999999999995</c:v>
                </c:pt>
                <c:pt idx="90">
                  <c:v>81.680000000000007</c:v>
                </c:pt>
                <c:pt idx="91">
                  <c:v>96.32</c:v>
                </c:pt>
                <c:pt idx="92">
                  <c:v>110.28</c:v>
                </c:pt>
                <c:pt idx="93">
                  <c:v>124.53</c:v>
                </c:pt>
                <c:pt idx="94">
                  <c:v>138.04</c:v>
                </c:pt>
                <c:pt idx="95">
                  <c:v>147.74</c:v>
                </c:pt>
                <c:pt idx="96">
                  <c:v>157.84</c:v>
                </c:pt>
                <c:pt idx="97">
                  <c:v>166.54</c:v>
                </c:pt>
                <c:pt idx="98">
                  <c:v>175.46</c:v>
                </c:pt>
                <c:pt idx="99">
                  <c:v>186.16</c:v>
                </c:pt>
                <c:pt idx="100">
                  <c:v>198.75</c:v>
                </c:pt>
                <c:pt idx="101">
                  <c:v>213.48</c:v>
                </c:pt>
                <c:pt idx="102">
                  <c:v>231.12</c:v>
                </c:pt>
                <c:pt idx="103">
                  <c:v>255.74</c:v>
                </c:pt>
                <c:pt idx="104">
                  <c:v>288.26</c:v>
                </c:pt>
                <c:pt idx="105">
                  <c:v>348.47</c:v>
                </c:pt>
                <c:pt idx="106">
                  <c:v>475.67</c:v>
                </c:pt>
                <c:pt idx="107">
                  <c:v>917.44</c:v>
                </c:pt>
                <c:pt idx="108">
                  <c:v>36.9</c:v>
                </c:pt>
                <c:pt idx="109">
                  <c:v>47.71</c:v>
                </c:pt>
                <c:pt idx="110">
                  <c:v>67.709999999999994</c:v>
                </c:pt>
                <c:pt idx="111">
                  <c:v>84.85</c:v>
                </c:pt>
                <c:pt idx="112">
                  <c:v>100.18</c:v>
                </c:pt>
                <c:pt idx="113">
                  <c:v>114.64</c:v>
                </c:pt>
                <c:pt idx="114">
                  <c:v>128.78</c:v>
                </c:pt>
                <c:pt idx="115">
                  <c:v>141.97999999999999</c:v>
                </c:pt>
                <c:pt idx="116">
                  <c:v>152.55000000000001</c:v>
                </c:pt>
                <c:pt idx="117">
                  <c:v>164.12</c:v>
                </c:pt>
                <c:pt idx="118">
                  <c:v>174.43</c:v>
                </c:pt>
                <c:pt idx="119">
                  <c:v>185.6</c:v>
                </c:pt>
                <c:pt idx="120">
                  <c:v>201.62</c:v>
                </c:pt>
                <c:pt idx="121">
                  <c:v>217.51</c:v>
                </c:pt>
                <c:pt idx="122">
                  <c:v>238.59</c:v>
                </c:pt>
                <c:pt idx="123">
                  <c:v>265.04000000000002</c:v>
                </c:pt>
                <c:pt idx="124">
                  <c:v>296.27999999999997</c:v>
                </c:pt>
                <c:pt idx="125">
                  <c:v>348.38</c:v>
                </c:pt>
                <c:pt idx="126">
                  <c:v>423.46</c:v>
                </c:pt>
                <c:pt idx="127">
                  <c:v>558.6</c:v>
                </c:pt>
                <c:pt idx="128">
                  <c:v>858.23</c:v>
                </c:pt>
                <c:pt idx="129">
                  <c:v>1930.82</c:v>
                </c:pt>
                <c:pt idx="130">
                  <c:v>121.95</c:v>
                </c:pt>
                <c:pt idx="131">
                  <c:v>164.8</c:v>
                </c:pt>
                <c:pt idx="132">
                  <c:v>259.99</c:v>
                </c:pt>
                <c:pt idx="133">
                  <c:v>344.39</c:v>
                </c:pt>
                <c:pt idx="134">
                  <c:v>420.56</c:v>
                </c:pt>
                <c:pt idx="135">
                  <c:v>494.55</c:v>
                </c:pt>
                <c:pt idx="136">
                  <c:v>557.5</c:v>
                </c:pt>
                <c:pt idx="137">
                  <c:v>629</c:v>
                </c:pt>
                <c:pt idx="138">
                  <c:v>670.05</c:v>
                </c:pt>
                <c:pt idx="139">
                  <c:v>758.41</c:v>
                </c:pt>
                <c:pt idx="140">
                  <c:v>792.88</c:v>
                </c:pt>
                <c:pt idx="141">
                  <c:v>824.45</c:v>
                </c:pt>
                <c:pt idx="142">
                  <c:v>926.17</c:v>
                </c:pt>
                <c:pt idx="143">
                  <c:v>1041.32</c:v>
                </c:pt>
                <c:pt idx="144">
                  <c:v>1096.72</c:v>
                </c:pt>
                <c:pt idx="145">
                  <c:v>1160.02</c:v>
                </c:pt>
                <c:pt idx="146">
                  <c:v>1471.63</c:v>
                </c:pt>
                <c:pt idx="147">
                  <c:v>1783.62</c:v>
                </c:pt>
                <c:pt idx="148">
                  <c:v>2067.46</c:v>
                </c:pt>
                <c:pt idx="149">
                  <c:v>2785.4</c:v>
                </c:pt>
                <c:pt idx="150">
                  <c:v>4572.34</c:v>
                </c:pt>
                <c:pt idx="151">
                  <c:v>26.94</c:v>
                </c:pt>
                <c:pt idx="152">
                  <c:v>31.61</c:v>
                </c:pt>
                <c:pt idx="153">
                  <c:v>41.29</c:v>
                </c:pt>
                <c:pt idx="154">
                  <c:v>49.95</c:v>
                </c:pt>
                <c:pt idx="155">
                  <c:v>57.37</c:v>
                </c:pt>
                <c:pt idx="156">
                  <c:v>64.52</c:v>
                </c:pt>
                <c:pt idx="157">
                  <c:v>71.27</c:v>
                </c:pt>
                <c:pt idx="158">
                  <c:v>77.77</c:v>
                </c:pt>
                <c:pt idx="159">
                  <c:v>83.19</c:v>
                </c:pt>
              </c:numCache>
            </c:numRef>
          </c:xVal>
          <c:yVal>
            <c:numRef>
              <c:f>'Run 2 (Alex)'!$D$23:$D$42</c:f>
              <c:numCache>
                <c:formatCode>General</c:formatCode>
                <c:ptCount val="20"/>
                <c:pt idx="0">
                  <c:v>16.670000000000002</c:v>
                </c:pt>
                <c:pt idx="1">
                  <c:v>19.03</c:v>
                </c:pt>
                <c:pt idx="2">
                  <c:v>22.99</c:v>
                </c:pt>
                <c:pt idx="3">
                  <c:v>26.73</c:v>
                </c:pt>
                <c:pt idx="4">
                  <c:v>29.58</c:v>
                </c:pt>
                <c:pt idx="5">
                  <c:v>32.520000000000003</c:v>
                </c:pt>
                <c:pt idx="6">
                  <c:v>35</c:v>
                </c:pt>
                <c:pt idx="7">
                  <c:v>36.82</c:v>
                </c:pt>
                <c:pt idx="8">
                  <c:v>38.56</c:v>
                </c:pt>
                <c:pt idx="9">
                  <c:v>40.049999999999997</c:v>
                </c:pt>
                <c:pt idx="10">
                  <c:v>41.41</c:v>
                </c:pt>
                <c:pt idx="11">
                  <c:v>43.26</c:v>
                </c:pt>
                <c:pt idx="12">
                  <c:v>45.43</c:v>
                </c:pt>
                <c:pt idx="13">
                  <c:v>47.86</c:v>
                </c:pt>
                <c:pt idx="14">
                  <c:v>50.94</c:v>
                </c:pt>
                <c:pt idx="15">
                  <c:v>54.28</c:v>
                </c:pt>
                <c:pt idx="16">
                  <c:v>57.99</c:v>
                </c:pt>
                <c:pt idx="17">
                  <c:v>62.63</c:v>
                </c:pt>
                <c:pt idx="18">
                  <c:v>72.44</c:v>
                </c:pt>
                <c:pt idx="19">
                  <c:v>90.01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E6-48E2-922A-9B1CF4FAE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754875395429392"/>
              <c:y val="0.921921669763318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04713117496235"/>
          <c:y val="0.12039579559597302"/>
          <c:w val="0.70606402662916923"/>
          <c:h val="0.71972200658016339"/>
        </c:manualLayout>
      </c:layout>
      <c:scatterChart>
        <c:scatterStyle val="lineMarker"/>
        <c:varyColors val="0"/>
        <c:ser>
          <c:idx val="2"/>
          <c:order val="1"/>
          <c:tx>
            <c:strRef>
              <c:f>'Run 2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(Alex)'!$E$23:$E$43</c:f>
              <c:numCache>
                <c:formatCode>General</c:formatCode>
                <c:ptCount val="21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  <c:pt idx="20">
                  <c:v>127.54</c:v>
                </c:pt>
              </c:numCache>
            </c:numRef>
          </c:xVal>
          <c:yVal>
            <c:numRef>
              <c:f>'Run 2 (Alex)'!$D$23:$D$43</c:f>
              <c:numCache>
                <c:formatCode>General</c:formatCode>
                <c:ptCount val="21"/>
                <c:pt idx="0">
                  <c:v>16.670000000000002</c:v>
                </c:pt>
                <c:pt idx="1">
                  <c:v>19.03</c:v>
                </c:pt>
                <c:pt idx="2">
                  <c:v>22.99</c:v>
                </c:pt>
                <c:pt idx="3">
                  <c:v>26.73</c:v>
                </c:pt>
                <c:pt idx="4">
                  <c:v>29.58</c:v>
                </c:pt>
                <c:pt idx="5">
                  <c:v>32.520000000000003</c:v>
                </c:pt>
                <c:pt idx="6">
                  <c:v>35</c:v>
                </c:pt>
                <c:pt idx="7">
                  <c:v>36.82</c:v>
                </c:pt>
                <c:pt idx="8">
                  <c:v>38.56</c:v>
                </c:pt>
                <c:pt idx="9">
                  <c:v>40.049999999999997</c:v>
                </c:pt>
                <c:pt idx="10">
                  <c:v>41.41</c:v>
                </c:pt>
                <c:pt idx="11">
                  <c:v>43.26</c:v>
                </c:pt>
                <c:pt idx="12">
                  <c:v>45.43</c:v>
                </c:pt>
                <c:pt idx="13">
                  <c:v>47.86</c:v>
                </c:pt>
                <c:pt idx="14">
                  <c:v>50.94</c:v>
                </c:pt>
                <c:pt idx="15">
                  <c:v>54.28</c:v>
                </c:pt>
                <c:pt idx="16">
                  <c:v>57.99</c:v>
                </c:pt>
                <c:pt idx="17">
                  <c:v>62.63</c:v>
                </c:pt>
                <c:pt idx="18">
                  <c:v>72.44</c:v>
                </c:pt>
                <c:pt idx="19">
                  <c:v>90.01</c:v>
                </c:pt>
                <c:pt idx="20">
                  <c:v>126.99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E-4F9F-8B51-80A29EA4B4F4}"/>
            </c:ext>
          </c:extLst>
        </c:ser>
        <c:ser>
          <c:idx val="3"/>
          <c:order val="2"/>
          <c:tx>
            <c:strRef>
              <c:f>'Run 2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(Alex)'!$E$44:$E$64</c:f>
              <c:numCache>
                <c:formatCode>General</c:formatCode>
                <c:ptCount val="21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  <c:pt idx="20">
                  <c:v>877.97</c:v>
                </c:pt>
              </c:numCache>
            </c:numRef>
          </c:xVal>
          <c:yVal>
            <c:numRef>
              <c:f>'Run 2 (Alex)'!$D$44:$D$64</c:f>
              <c:numCache>
                <c:formatCode>General</c:formatCode>
                <c:ptCount val="21"/>
                <c:pt idx="0">
                  <c:v>32.520000000000003</c:v>
                </c:pt>
                <c:pt idx="1">
                  <c:v>42</c:v>
                </c:pt>
                <c:pt idx="2">
                  <c:v>60.52</c:v>
                </c:pt>
                <c:pt idx="3">
                  <c:v>76.319999999999993</c:v>
                </c:pt>
                <c:pt idx="4">
                  <c:v>90.44</c:v>
                </c:pt>
                <c:pt idx="5">
                  <c:v>103.22</c:v>
                </c:pt>
                <c:pt idx="6">
                  <c:v>114.72</c:v>
                </c:pt>
                <c:pt idx="7">
                  <c:v>125.88</c:v>
                </c:pt>
                <c:pt idx="8">
                  <c:v>134.72999999999999</c:v>
                </c:pt>
                <c:pt idx="9">
                  <c:v>144.65</c:v>
                </c:pt>
                <c:pt idx="10">
                  <c:v>152.96</c:v>
                </c:pt>
                <c:pt idx="11">
                  <c:v>161.75</c:v>
                </c:pt>
                <c:pt idx="12">
                  <c:v>172.79</c:v>
                </c:pt>
                <c:pt idx="13">
                  <c:v>186.25</c:v>
                </c:pt>
                <c:pt idx="14">
                  <c:v>202.7</c:v>
                </c:pt>
                <c:pt idx="15">
                  <c:v>221.25</c:v>
                </c:pt>
                <c:pt idx="16">
                  <c:v>250.31</c:v>
                </c:pt>
                <c:pt idx="17">
                  <c:v>290.05</c:v>
                </c:pt>
                <c:pt idx="18">
                  <c:v>359.88</c:v>
                </c:pt>
                <c:pt idx="19">
                  <c:v>506.14</c:v>
                </c:pt>
                <c:pt idx="20">
                  <c:v>845.84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9E-4F9F-8B51-80A29EA4B4F4}"/>
            </c:ext>
          </c:extLst>
        </c:ser>
        <c:ser>
          <c:idx val="4"/>
          <c:order val="3"/>
          <c:tx>
            <c:strRef>
              <c:f>'Run 2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(Alex)'!$E$65:$E$85</c:f>
              <c:numCache>
                <c:formatCode>General</c:formatCode>
                <c:ptCount val="21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  <c:pt idx="20">
                  <c:v>2812.44</c:v>
                </c:pt>
              </c:numCache>
            </c:numRef>
          </c:xVal>
          <c:yVal>
            <c:numRef>
              <c:f>'Run 2 (Alex)'!$D$65:$D$85</c:f>
              <c:numCache>
                <c:formatCode>General</c:formatCode>
                <c:ptCount val="21"/>
                <c:pt idx="0">
                  <c:v>106.62</c:v>
                </c:pt>
                <c:pt idx="1">
                  <c:v>134.97</c:v>
                </c:pt>
                <c:pt idx="2">
                  <c:v>193.03</c:v>
                </c:pt>
                <c:pt idx="3">
                  <c:v>239.38</c:v>
                </c:pt>
                <c:pt idx="4">
                  <c:v>280.44</c:v>
                </c:pt>
                <c:pt idx="5">
                  <c:v>320.19</c:v>
                </c:pt>
                <c:pt idx="6">
                  <c:v>354.61</c:v>
                </c:pt>
                <c:pt idx="7">
                  <c:v>411.1</c:v>
                </c:pt>
                <c:pt idx="8">
                  <c:v>431.21</c:v>
                </c:pt>
                <c:pt idx="9">
                  <c:v>450.81</c:v>
                </c:pt>
                <c:pt idx="10">
                  <c:v>470.45</c:v>
                </c:pt>
                <c:pt idx="11">
                  <c:v>495.07</c:v>
                </c:pt>
                <c:pt idx="12">
                  <c:v>654.36</c:v>
                </c:pt>
                <c:pt idx="13">
                  <c:v>773.47</c:v>
                </c:pt>
                <c:pt idx="14">
                  <c:v>817.89</c:v>
                </c:pt>
                <c:pt idx="15">
                  <c:v>869.21</c:v>
                </c:pt>
                <c:pt idx="16">
                  <c:v>926.88</c:v>
                </c:pt>
                <c:pt idx="17">
                  <c:v>1006</c:v>
                </c:pt>
                <c:pt idx="18">
                  <c:v>1280.48</c:v>
                </c:pt>
                <c:pt idx="19">
                  <c:v>1711.77</c:v>
                </c:pt>
                <c:pt idx="20">
                  <c:v>2640.3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9E-4F9F-8B51-80A29EA4B4F4}"/>
            </c:ext>
          </c:extLst>
        </c:ser>
        <c:ser>
          <c:idx val="5"/>
          <c:order val="4"/>
          <c:tx>
            <c:strRef>
              <c:f>'Run 2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(Alex)'!$E$86:$E$106</c:f>
              <c:numCache>
                <c:formatCode>General</c:formatCode>
                <c:ptCount val="21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  <c:pt idx="20">
                  <c:v>1976.48</c:v>
                </c:pt>
              </c:numCache>
            </c:numRef>
          </c:xVal>
          <c:yVal>
            <c:numRef>
              <c:f>'Run 2 (Alex)'!$D$86:$D$106</c:f>
              <c:numCache>
                <c:formatCode>General</c:formatCode>
                <c:ptCount val="21"/>
                <c:pt idx="0">
                  <c:v>89.84</c:v>
                </c:pt>
                <c:pt idx="1">
                  <c:v>93.56</c:v>
                </c:pt>
                <c:pt idx="2">
                  <c:v>101.23</c:v>
                </c:pt>
                <c:pt idx="3">
                  <c:v>109.58</c:v>
                </c:pt>
                <c:pt idx="4">
                  <c:v>119.55</c:v>
                </c:pt>
                <c:pt idx="5">
                  <c:v>130.86000000000001</c:v>
                </c:pt>
                <c:pt idx="6">
                  <c:v>151.05000000000001</c:v>
                </c:pt>
                <c:pt idx="7">
                  <c:v>185.39</c:v>
                </c:pt>
                <c:pt idx="8">
                  <c:v>192.33</c:v>
                </c:pt>
                <c:pt idx="9">
                  <c:v>198.28</c:v>
                </c:pt>
                <c:pt idx="10">
                  <c:v>204.26</c:v>
                </c:pt>
                <c:pt idx="11">
                  <c:v>218.52</c:v>
                </c:pt>
                <c:pt idx="12">
                  <c:v>424.65</c:v>
                </c:pt>
                <c:pt idx="13">
                  <c:v>523.47</c:v>
                </c:pt>
                <c:pt idx="14">
                  <c:v>540.89</c:v>
                </c:pt>
                <c:pt idx="15">
                  <c:v>569.67999999999995</c:v>
                </c:pt>
                <c:pt idx="16">
                  <c:v>593.29999999999995</c:v>
                </c:pt>
                <c:pt idx="17">
                  <c:v>629.44000000000005</c:v>
                </c:pt>
                <c:pt idx="18">
                  <c:v>844.01</c:v>
                </c:pt>
                <c:pt idx="19">
                  <c:v>1143.49</c:v>
                </c:pt>
                <c:pt idx="20">
                  <c:v>1803.15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9E-4F9F-8B51-80A29EA4B4F4}"/>
            </c:ext>
          </c:extLst>
        </c:ser>
        <c:ser>
          <c:idx val="0"/>
          <c:order val="5"/>
          <c:tx>
            <c:strRef>
              <c:f>'Run 2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(Alex)'!$E$107:$E$127</c:f>
              <c:numCache>
                <c:formatCode>General</c:formatCode>
                <c:ptCount val="21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  <c:pt idx="20">
                  <c:v>218.14</c:v>
                </c:pt>
              </c:numCache>
            </c:numRef>
          </c:xVal>
          <c:yVal>
            <c:numRef>
              <c:f>'Run 2 (Alex)'!$D$107:$D$127</c:f>
              <c:numCache>
                <c:formatCode>General</c:formatCode>
                <c:ptCount val="21"/>
                <c:pt idx="0">
                  <c:v>8.2899999999999991</c:v>
                </c:pt>
                <c:pt idx="1">
                  <c:v>9.67</c:v>
                </c:pt>
                <c:pt idx="2">
                  <c:v>14.07</c:v>
                </c:pt>
                <c:pt idx="3">
                  <c:v>17.93</c:v>
                </c:pt>
                <c:pt idx="4">
                  <c:v>21.81</c:v>
                </c:pt>
                <c:pt idx="5">
                  <c:v>25.22</c:v>
                </c:pt>
                <c:pt idx="6">
                  <c:v>28.32</c:v>
                </c:pt>
                <c:pt idx="7">
                  <c:v>31.26</c:v>
                </c:pt>
                <c:pt idx="8">
                  <c:v>33.590000000000003</c:v>
                </c:pt>
                <c:pt idx="9">
                  <c:v>36.33</c:v>
                </c:pt>
                <c:pt idx="10">
                  <c:v>38.74</c:v>
                </c:pt>
                <c:pt idx="11">
                  <c:v>41.14</c:v>
                </c:pt>
                <c:pt idx="12">
                  <c:v>44.14</c:v>
                </c:pt>
                <c:pt idx="13">
                  <c:v>47.93</c:v>
                </c:pt>
                <c:pt idx="14">
                  <c:v>52.13</c:v>
                </c:pt>
                <c:pt idx="15">
                  <c:v>57.09</c:v>
                </c:pt>
                <c:pt idx="16">
                  <c:v>64.739999999999995</c:v>
                </c:pt>
                <c:pt idx="17">
                  <c:v>75.010000000000005</c:v>
                </c:pt>
                <c:pt idx="18">
                  <c:v>92.31</c:v>
                </c:pt>
                <c:pt idx="19">
                  <c:v>127.85</c:v>
                </c:pt>
                <c:pt idx="20">
                  <c:v>213.55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9E-4F9F-8B51-80A29EA4B4F4}"/>
            </c:ext>
          </c:extLst>
        </c:ser>
        <c:ser>
          <c:idx val="6"/>
          <c:order val="6"/>
          <c:tx>
            <c:strRef>
              <c:f>'Run 2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(Alex)'!$E$128:$E$148</c:f>
              <c:numCache>
                <c:formatCode>General</c:formatCode>
                <c:ptCount val="21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  <c:pt idx="20">
                  <c:v>251.94</c:v>
                </c:pt>
              </c:numCache>
            </c:numRef>
          </c:xVal>
          <c:yVal>
            <c:numRef>
              <c:f>'Run 2 (Alex)'!$D$128:$D$148</c:f>
              <c:numCache>
                <c:formatCode>General</c:formatCode>
                <c:ptCount val="21"/>
                <c:pt idx="0">
                  <c:v>13.83</c:v>
                </c:pt>
                <c:pt idx="1">
                  <c:v>16.600000000000001</c:v>
                </c:pt>
                <c:pt idx="2">
                  <c:v>22.16</c:v>
                </c:pt>
                <c:pt idx="3">
                  <c:v>26.74</c:v>
                </c:pt>
                <c:pt idx="4">
                  <c:v>31.24</c:v>
                </c:pt>
                <c:pt idx="5">
                  <c:v>35.08</c:v>
                </c:pt>
                <c:pt idx="6">
                  <c:v>38.619999999999997</c:v>
                </c:pt>
                <c:pt idx="7">
                  <c:v>43.51</c:v>
                </c:pt>
                <c:pt idx="8">
                  <c:v>45.42</c:v>
                </c:pt>
                <c:pt idx="9">
                  <c:v>47.27</c:v>
                </c:pt>
                <c:pt idx="10">
                  <c:v>49.11</c:v>
                </c:pt>
                <c:pt idx="11">
                  <c:v>51.32</c:v>
                </c:pt>
                <c:pt idx="12">
                  <c:v>60.87</c:v>
                </c:pt>
                <c:pt idx="13">
                  <c:v>68.45</c:v>
                </c:pt>
                <c:pt idx="14">
                  <c:v>72.36</c:v>
                </c:pt>
                <c:pt idx="15">
                  <c:v>76.83</c:v>
                </c:pt>
                <c:pt idx="16">
                  <c:v>82.65</c:v>
                </c:pt>
                <c:pt idx="17">
                  <c:v>90.73</c:v>
                </c:pt>
                <c:pt idx="18">
                  <c:v>113.33</c:v>
                </c:pt>
                <c:pt idx="19">
                  <c:v>150.22999999999999</c:v>
                </c:pt>
                <c:pt idx="20">
                  <c:v>231.95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9E-4F9F-8B51-80A29EA4B4F4}"/>
            </c:ext>
          </c:extLst>
        </c:ser>
        <c:ser>
          <c:idx val="7"/>
          <c:order val="7"/>
          <c:tx>
            <c:strRef>
              <c:f>'Run 2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(Alex)'!$E$149:$E$169</c:f>
              <c:numCache>
                <c:formatCode>General</c:formatCode>
                <c:ptCount val="21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  <c:pt idx="20">
                  <c:v>917.44</c:v>
                </c:pt>
              </c:numCache>
            </c:numRef>
          </c:xVal>
          <c:yVal>
            <c:numRef>
              <c:f>'Run 2 (Alex)'!$D$149:$D$169</c:f>
              <c:numCache>
                <c:formatCode>General</c:formatCode>
                <c:ptCount val="21"/>
                <c:pt idx="0">
                  <c:v>39.49</c:v>
                </c:pt>
                <c:pt idx="1">
                  <c:v>49.93</c:v>
                </c:pt>
                <c:pt idx="2">
                  <c:v>71.55</c:v>
                </c:pt>
                <c:pt idx="3">
                  <c:v>90.7</c:v>
                </c:pt>
                <c:pt idx="4">
                  <c:v>107.69</c:v>
                </c:pt>
                <c:pt idx="5">
                  <c:v>123.85</c:v>
                </c:pt>
                <c:pt idx="6">
                  <c:v>138.66</c:v>
                </c:pt>
                <c:pt idx="7">
                  <c:v>152</c:v>
                </c:pt>
                <c:pt idx="8">
                  <c:v>161.65</c:v>
                </c:pt>
                <c:pt idx="9">
                  <c:v>171.89</c:v>
                </c:pt>
                <c:pt idx="10">
                  <c:v>180.73</c:v>
                </c:pt>
                <c:pt idx="11">
                  <c:v>189.94</c:v>
                </c:pt>
                <c:pt idx="12">
                  <c:v>201.5</c:v>
                </c:pt>
                <c:pt idx="13">
                  <c:v>215.53</c:v>
                </c:pt>
                <c:pt idx="14">
                  <c:v>231.02</c:v>
                </c:pt>
                <c:pt idx="15">
                  <c:v>249.01</c:v>
                </c:pt>
                <c:pt idx="16">
                  <c:v>275.02999999999997</c:v>
                </c:pt>
                <c:pt idx="17">
                  <c:v>310.63</c:v>
                </c:pt>
                <c:pt idx="18">
                  <c:v>378.24</c:v>
                </c:pt>
                <c:pt idx="19">
                  <c:v>519.99</c:v>
                </c:pt>
                <c:pt idx="20">
                  <c:v>882.87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9E-4F9F-8B51-80A29EA4B4F4}"/>
            </c:ext>
          </c:extLst>
        </c:ser>
        <c:ser>
          <c:idx val="8"/>
          <c:order val="8"/>
          <c:tx>
            <c:strRef>
              <c:f>'Run 2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(Alex)'!$E$170:$E$190</c:f>
              <c:numCache>
                <c:formatCode>General</c:formatCode>
                <c:ptCount val="21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  <c:pt idx="20">
                  <c:v>1163.71</c:v>
                </c:pt>
              </c:numCache>
            </c:numRef>
          </c:xVal>
          <c:yVal>
            <c:numRef>
              <c:f>'Run 2 (Alex)'!$D$170:$D$190</c:f>
              <c:numCache>
                <c:formatCode>General</c:formatCode>
                <c:ptCount val="21"/>
                <c:pt idx="0">
                  <c:v>40.020000000000003</c:v>
                </c:pt>
                <c:pt idx="1">
                  <c:v>51.9</c:v>
                </c:pt>
                <c:pt idx="2">
                  <c:v>73.56</c:v>
                </c:pt>
                <c:pt idx="3">
                  <c:v>92.71</c:v>
                </c:pt>
                <c:pt idx="4">
                  <c:v>109.37</c:v>
                </c:pt>
                <c:pt idx="5">
                  <c:v>125.04</c:v>
                </c:pt>
                <c:pt idx="6">
                  <c:v>140.09</c:v>
                </c:pt>
                <c:pt idx="7">
                  <c:v>154.26</c:v>
                </c:pt>
                <c:pt idx="8">
                  <c:v>166.6</c:v>
                </c:pt>
                <c:pt idx="9">
                  <c:v>179.39</c:v>
                </c:pt>
                <c:pt idx="10">
                  <c:v>190.65</c:v>
                </c:pt>
                <c:pt idx="11">
                  <c:v>202.41</c:v>
                </c:pt>
                <c:pt idx="12">
                  <c:v>217.07</c:v>
                </c:pt>
                <c:pt idx="13">
                  <c:v>235.28</c:v>
                </c:pt>
                <c:pt idx="14">
                  <c:v>256.68</c:v>
                </c:pt>
                <c:pt idx="15">
                  <c:v>281.35000000000002</c:v>
                </c:pt>
                <c:pt idx="16">
                  <c:v>319.08999999999997</c:v>
                </c:pt>
                <c:pt idx="17">
                  <c:v>369.89</c:v>
                </c:pt>
                <c:pt idx="18">
                  <c:v>458.76</c:v>
                </c:pt>
                <c:pt idx="19">
                  <c:v>645.37</c:v>
                </c:pt>
                <c:pt idx="20">
                  <c:v>1117.6600000000001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9E-4F9F-8B51-80A29EA4B4F4}"/>
            </c:ext>
          </c:extLst>
        </c:ser>
        <c:ser>
          <c:idx val="9"/>
          <c:order val="9"/>
          <c:tx>
            <c:strRef>
              <c:f>'Run 2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(Alex)'!$E$191:$E$211</c:f>
              <c:numCache>
                <c:formatCode>General</c:formatCode>
                <c:ptCount val="21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  <c:pt idx="20">
                  <c:v>1930.82</c:v>
                </c:pt>
              </c:numCache>
            </c:numRef>
          </c:xVal>
          <c:yVal>
            <c:numRef>
              <c:f>'Run 2 (Alex)'!$D$191:$D$211</c:f>
              <c:numCache>
                <c:formatCode>General</c:formatCode>
                <c:ptCount val="21"/>
                <c:pt idx="0">
                  <c:v>74.61</c:v>
                </c:pt>
                <c:pt idx="1">
                  <c:v>79.97</c:v>
                </c:pt>
                <c:pt idx="2">
                  <c:v>94.41</c:v>
                </c:pt>
                <c:pt idx="3">
                  <c:v>109.45</c:v>
                </c:pt>
                <c:pt idx="4">
                  <c:v>124.39</c:v>
                </c:pt>
                <c:pt idx="5">
                  <c:v>139.08000000000001</c:v>
                </c:pt>
                <c:pt idx="6">
                  <c:v>153.33000000000001</c:v>
                </c:pt>
                <c:pt idx="7">
                  <c:v>167.03</c:v>
                </c:pt>
                <c:pt idx="8">
                  <c:v>178.84</c:v>
                </c:pt>
                <c:pt idx="9">
                  <c:v>193.26</c:v>
                </c:pt>
                <c:pt idx="10">
                  <c:v>205.25</c:v>
                </c:pt>
                <c:pt idx="11">
                  <c:v>218.23</c:v>
                </c:pt>
                <c:pt idx="12">
                  <c:v>234.84</c:v>
                </c:pt>
                <c:pt idx="13">
                  <c:v>258.01</c:v>
                </c:pt>
                <c:pt idx="14">
                  <c:v>285.10000000000002</c:v>
                </c:pt>
                <c:pt idx="15">
                  <c:v>317.77</c:v>
                </c:pt>
                <c:pt idx="16">
                  <c:v>372.1</c:v>
                </c:pt>
                <c:pt idx="17">
                  <c:v>449.45</c:v>
                </c:pt>
                <c:pt idx="18">
                  <c:v>594.28</c:v>
                </c:pt>
                <c:pt idx="19">
                  <c:v>916.82</c:v>
                </c:pt>
                <c:pt idx="20">
                  <c:v>1797.16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49E-4F9F-8B51-80A29EA4B4F4}"/>
            </c:ext>
          </c:extLst>
        </c:ser>
        <c:ser>
          <c:idx val="10"/>
          <c:order val="10"/>
          <c:tx>
            <c:strRef>
              <c:f>'Run 2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(Alex)'!$E$212:$E$232</c:f>
              <c:numCache>
                <c:formatCode>General</c:formatCode>
                <c:ptCount val="21"/>
                <c:pt idx="0">
                  <c:v>121.95</c:v>
                </c:pt>
                <c:pt idx="1">
                  <c:v>164.8</c:v>
                </c:pt>
                <c:pt idx="2">
                  <c:v>259.99</c:v>
                </c:pt>
                <c:pt idx="3">
                  <c:v>344.39</c:v>
                </c:pt>
                <c:pt idx="4">
                  <c:v>420.56</c:v>
                </c:pt>
                <c:pt idx="5">
                  <c:v>494.55</c:v>
                </c:pt>
                <c:pt idx="6">
                  <c:v>557.5</c:v>
                </c:pt>
                <c:pt idx="7">
                  <c:v>629</c:v>
                </c:pt>
                <c:pt idx="8">
                  <c:v>670.05</c:v>
                </c:pt>
                <c:pt idx="9">
                  <c:v>758.41</c:v>
                </c:pt>
                <c:pt idx="10">
                  <c:v>792.88</c:v>
                </c:pt>
                <c:pt idx="11">
                  <c:v>824.45</c:v>
                </c:pt>
                <c:pt idx="12">
                  <c:v>926.17</c:v>
                </c:pt>
                <c:pt idx="13">
                  <c:v>1041.32</c:v>
                </c:pt>
                <c:pt idx="14">
                  <c:v>1096.72</c:v>
                </c:pt>
                <c:pt idx="15">
                  <c:v>1160.02</c:v>
                </c:pt>
                <c:pt idx="16">
                  <c:v>1471.63</c:v>
                </c:pt>
                <c:pt idx="17">
                  <c:v>1783.62</c:v>
                </c:pt>
                <c:pt idx="18">
                  <c:v>2067.46</c:v>
                </c:pt>
                <c:pt idx="19">
                  <c:v>2785.4</c:v>
                </c:pt>
                <c:pt idx="20">
                  <c:v>4572.34</c:v>
                </c:pt>
              </c:numCache>
            </c:numRef>
          </c:xVal>
          <c:yVal>
            <c:numRef>
              <c:f>'Run 2 (Alex)'!$D$212:$D$232</c:f>
              <c:numCache>
                <c:formatCode>General</c:formatCode>
                <c:ptCount val="21"/>
                <c:pt idx="0">
                  <c:v>132.6</c:v>
                </c:pt>
                <c:pt idx="1">
                  <c:v>177.88</c:v>
                </c:pt>
                <c:pt idx="2">
                  <c:v>279.13</c:v>
                </c:pt>
                <c:pt idx="3">
                  <c:v>369.5</c:v>
                </c:pt>
                <c:pt idx="4">
                  <c:v>451.59</c:v>
                </c:pt>
                <c:pt idx="5">
                  <c:v>531.27</c:v>
                </c:pt>
                <c:pt idx="6">
                  <c:v>598</c:v>
                </c:pt>
                <c:pt idx="7">
                  <c:v>673.51</c:v>
                </c:pt>
                <c:pt idx="8">
                  <c:v>721.21</c:v>
                </c:pt>
                <c:pt idx="9">
                  <c:v>818.41</c:v>
                </c:pt>
                <c:pt idx="10">
                  <c:v>861</c:v>
                </c:pt>
                <c:pt idx="11">
                  <c:v>897.77</c:v>
                </c:pt>
                <c:pt idx="12">
                  <c:v>1001.88</c:v>
                </c:pt>
                <c:pt idx="13">
                  <c:v>1124.77</c:v>
                </c:pt>
                <c:pt idx="14">
                  <c:v>1186.97</c:v>
                </c:pt>
                <c:pt idx="15">
                  <c:v>1254.98</c:v>
                </c:pt>
                <c:pt idx="16">
                  <c:v>1552.28</c:v>
                </c:pt>
                <c:pt idx="17">
                  <c:v>1869.17</c:v>
                </c:pt>
                <c:pt idx="18">
                  <c:v>2144.3000000000002</c:v>
                </c:pt>
                <c:pt idx="19">
                  <c:v>2919.24</c:v>
                </c:pt>
                <c:pt idx="20">
                  <c:v>4437.1899999999996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9E-4F9F-8B51-80A29EA4B4F4}"/>
            </c:ext>
          </c:extLst>
        </c:ser>
        <c:ser>
          <c:idx val="11"/>
          <c:order val="11"/>
          <c:tx>
            <c:strRef>
              <c:f>'Run 2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(Alex)'!$E$233:$E$253</c:f>
              <c:numCache>
                <c:formatCode>General</c:formatCode>
                <c:ptCount val="21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  <c:pt idx="20">
                  <c:v>912.6</c:v>
                </c:pt>
              </c:numCache>
            </c:numRef>
          </c:xVal>
          <c:yVal>
            <c:numRef>
              <c:f>'Run 2 (Alex)'!$D$233:$D$253</c:f>
              <c:numCache>
                <c:formatCode>General</c:formatCode>
                <c:ptCount val="21"/>
                <c:pt idx="0">
                  <c:v>29.61</c:v>
                </c:pt>
                <c:pt idx="1">
                  <c:v>34.93</c:v>
                </c:pt>
                <c:pt idx="2">
                  <c:v>45.85</c:v>
                </c:pt>
                <c:pt idx="3">
                  <c:v>55.37</c:v>
                </c:pt>
                <c:pt idx="4">
                  <c:v>63.67</c:v>
                </c:pt>
                <c:pt idx="5">
                  <c:v>71.69</c:v>
                </c:pt>
                <c:pt idx="6">
                  <c:v>79.12</c:v>
                </c:pt>
                <c:pt idx="7">
                  <c:v>86.07</c:v>
                </c:pt>
                <c:pt idx="8">
                  <c:v>92.09</c:v>
                </c:pt>
                <c:pt idx="9">
                  <c:v>99.19</c:v>
                </c:pt>
                <c:pt idx="10">
                  <c:v>105.05</c:v>
                </c:pt>
                <c:pt idx="11">
                  <c:v>110.95</c:v>
                </c:pt>
                <c:pt idx="12">
                  <c:v>118.63</c:v>
                </c:pt>
                <c:pt idx="13">
                  <c:v>128.9</c:v>
                </c:pt>
                <c:pt idx="14">
                  <c:v>140.41</c:v>
                </c:pt>
                <c:pt idx="15">
                  <c:v>154.05000000000001</c:v>
                </c:pt>
                <c:pt idx="16">
                  <c:v>176.29</c:v>
                </c:pt>
                <c:pt idx="17">
                  <c:v>208.26</c:v>
                </c:pt>
                <c:pt idx="18">
                  <c:v>270.85000000000002</c:v>
                </c:pt>
                <c:pt idx="19">
                  <c:v>422.64</c:v>
                </c:pt>
                <c:pt idx="20">
                  <c:v>869.53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9E-4F9F-8B51-80A29EA4B4F4}"/>
            </c:ext>
          </c:extLst>
        </c:ser>
        <c:ser>
          <c:idx val="12"/>
          <c:order val="12"/>
          <c:tx>
            <c:strRef>
              <c:f>'Run 2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(Alex)'!$E$254:$E$273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2 (Alex)'!$D$254:$D$273</c:f>
              <c:numCache>
                <c:formatCode>General</c:formatCode>
                <c:ptCount val="20"/>
                <c:pt idx="0">
                  <c:v>42.46</c:v>
                </c:pt>
                <c:pt idx="1">
                  <c:v>51</c:v>
                </c:pt>
                <c:pt idx="2">
                  <c:v>69.95</c:v>
                </c:pt>
                <c:pt idx="3">
                  <c:v>86.1</c:v>
                </c:pt>
                <c:pt idx="4">
                  <c:v>101.12</c:v>
                </c:pt>
                <c:pt idx="5">
                  <c:v>115.61</c:v>
                </c:pt>
                <c:pt idx="6">
                  <c:v>128.36000000000001</c:v>
                </c:pt>
                <c:pt idx="7">
                  <c:v>143.63</c:v>
                </c:pt>
                <c:pt idx="8">
                  <c:v>152.9</c:v>
                </c:pt>
                <c:pt idx="9">
                  <c:v>162.57</c:v>
                </c:pt>
                <c:pt idx="10">
                  <c:v>172.26</c:v>
                </c:pt>
                <c:pt idx="11">
                  <c:v>184.4</c:v>
                </c:pt>
                <c:pt idx="12">
                  <c:v>200.45</c:v>
                </c:pt>
                <c:pt idx="13">
                  <c:v>224.53</c:v>
                </c:pt>
                <c:pt idx="14">
                  <c:v>243.01</c:v>
                </c:pt>
                <c:pt idx="15">
                  <c:v>267.95</c:v>
                </c:pt>
                <c:pt idx="16">
                  <c:v>305.85000000000002</c:v>
                </c:pt>
                <c:pt idx="17">
                  <c:v>341.14</c:v>
                </c:pt>
                <c:pt idx="18">
                  <c:v>404.63</c:v>
                </c:pt>
                <c:pt idx="19">
                  <c:v>541.35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9E-4F9F-8B51-80A29EA4B4F4}"/>
            </c:ext>
          </c:extLst>
        </c:ser>
        <c:ser>
          <c:idx val="13"/>
          <c:order val="13"/>
          <c:tx>
            <c:strRef>
              <c:f>'Run 2 (Alex)'!$A$274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(Alex)'!$E$274:$E$295</c:f>
              <c:numCache>
                <c:formatCode>General</c:formatCode>
                <c:ptCount val="22"/>
                <c:pt idx="0">
                  <c:v>866.16</c:v>
                </c:pt>
                <c:pt idx="1">
                  <c:v>14.8</c:v>
                </c:pt>
                <c:pt idx="2">
                  <c:v>17.11</c:v>
                </c:pt>
                <c:pt idx="3">
                  <c:v>22.88</c:v>
                </c:pt>
                <c:pt idx="4">
                  <c:v>28.57</c:v>
                </c:pt>
                <c:pt idx="5">
                  <c:v>33.770000000000003</c:v>
                </c:pt>
                <c:pt idx="6">
                  <c:v>38.82</c:v>
                </c:pt>
                <c:pt idx="7">
                  <c:v>43.69</c:v>
                </c:pt>
                <c:pt idx="8">
                  <c:v>48.32</c:v>
                </c:pt>
                <c:pt idx="9">
                  <c:v>52.42</c:v>
                </c:pt>
                <c:pt idx="10">
                  <c:v>57.04</c:v>
                </c:pt>
                <c:pt idx="11">
                  <c:v>61.11</c:v>
                </c:pt>
                <c:pt idx="12">
                  <c:v>65.37</c:v>
                </c:pt>
                <c:pt idx="13">
                  <c:v>70.92</c:v>
                </c:pt>
                <c:pt idx="14">
                  <c:v>77.900000000000006</c:v>
                </c:pt>
                <c:pt idx="15">
                  <c:v>86.63</c:v>
                </c:pt>
                <c:pt idx="16">
                  <c:v>96.91</c:v>
                </c:pt>
                <c:pt idx="17">
                  <c:v>113.36</c:v>
                </c:pt>
                <c:pt idx="18">
                  <c:v>136.97</c:v>
                </c:pt>
                <c:pt idx="19">
                  <c:v>178.4</c:v>
                </c:pt>
                <c:pt idx="20">
                  <c:v>265.01</c:v>
                </c:pt>
                <c:pt idx="21">
                  <c:v>565.14</c:v>
                </c:pt>
              </c:numCache>
            </c:numRef>
          </c:xVal>
          <c:yVal>
            <c:numRef>
              <c:f>'Run 2 (Alex)'!$D$274:$D$295</c:f>
              <c:numCache>
                <c:formatCode>General</c:formatCode>
                <c:ptCount val="22"/>
                <c:pt idx="0">
                  <c:v>810.42</c:v>
                </c:pt>
                <c:pt idx="1">
                  <c:v>16.07</c:v>
                </c:pt>
                <c:pt idx="2">
                  <c:v>18.63</c:v>
                </c:pt>
                <c:pt idx="3">
                  <c:v>24.86</c:v>
                </c:pt>
                <c:pt idx="4">
                  <c:v>31.01</c:v>
                </c:pt>
                <c:pt idx="5">
                  <c:v>36.72</c:v>
                </c:pt>
                <c:pt idx="6">
                  <c:v>42.22</c:v>
                </c:pt>
                <c:pt idx="7">
                  <c:v>47.46</c:v>
                </c:pt>
                <c:pt idx="8">
                  <c:v>52.51</c:v>
                </c:pt>
                <c:pt idx="9">
                  <c:v>57.02</c:v>
                </c:pt>
                <c:pt idx="10">
                  <c:v>62</c:v>
                </c:pt>
                <c:pt idx="11">
                  <c:v>66.45</c:v>
                </c:pt>
                <c:pt idx="12">
                  <c:v>71.03</c:v>
                </c:pt>
                <c:pt idx="13">
                  <c:v>76.94</c:v>
                </c:pt>
                <c:pt idx="14">
                  <c:v>84.8</c:v>
                </c:pt>
                <c:pt idx="15">
                  <c:v>94.19</c:v>
                </c:pt>
                <c:pt idx="16">
                  <c:v>105.13</c:v>
                </c:pt>
                <c:pt idx="17">
                  <c:v>122.6</c:v>
                </c:pt>
                <c:pt idx="18">
                  <c:v>147.5</c:v>
                </c:pt>
                <c:pt idx="19">
                  <c:v>192.46</c:v>
                </c:pt>
                <c:pt idx="20">
                  <c:v>285.74</c:v>
                </c:pt>
                <c:pt idx="21">
                  <c:v>532.07000000000005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49E-4F9F-8B51-80A29EA4B4F4}"/>
            </c:ext>
          </c:extLst>
        </c:ser>
        <c:ser>
          <c:idx val="14"/>
          <c:order val="14"/>
          <c:tx>
            <c:strRef>
              <c:f>'Run 2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(Alex)'!$E$296:$E$316</c:f>
              <c:numCache>
                <c:formatCode>General</c:formatCode>
                <c:ptCount val="21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  <c:pt idx="20">
                  <c:v>771.9</c:v>
                </c:pt>
              </c:numCache>
            </c:numRef>
          </c:xVal>
          <c:yVal>
            <c:numRef>
              <c:f>'Run 2 (Alex)'!$D$296:$D$316</c:f>
              <c:numCache>
                <c:formatCode>General</c:formatCode>
                <c:ptCount val="21"/>
                <c:pt idx="0">
                  <c:v>19.73</c:v>
                </c:pt>
                <c:pt idx="1">
                  <c:v>25.15</c:v>
                </c:pt>
                <c:pt idx="2">
                  <c:v>36.17</c:v>
                </c:pt>
                <c:pt idx="3">
                  <c:v>45.85</c:v>
                </c:pt>
                <c:pt idx="4">
                  <c:v>55.6</c:v>
                </c:pt>
                <c:pt idx="5">
                  <c:v>64.55</c:v>
                </c:pt>
                <c:pt idx="6">
                  <c:v>72.900000000000006</c:v>
                </c:pt>
                <c:pt idx="7">
                  <c:v>81.040000000000006</c:v>
                </c:pt>
                <c:pt idx="8">
                  <c:v>87.93</c:v>
                </c:pt>
                <c:pt idx="9">
                  <c:v>95.83</c:v>
                </c:pt>
                <c:pt idx="10">
                  <c:v>102.73</c:v>
                </c:pt>
                <c:pt idx="11">
                  <c:v>109.97</c:v>
                </c:pt>
                <c:pt idx="12">
                  <c:v>119.48</c:v>
                </c:pt>
                <c:pt idx="13">
                  <c:v>131.63</c:v>
                </c:pt>
                <c:pt idx="14">
                  <c:v>146.87</c:v>
                </c:pt>
                <c:pt idx="15">
                  <c:v>165.14</c:v>
                </c:pt>
                <c:pt idx="16">
                  <c:v>193.58</c:v>
                </c:pt>
                <c:pt idx="17">
                  <c:v>233.42</c:v>
                </c:pt>
                <c:pt idx="18">
                  <c:v>300.97000000000003</c:v>
                </c:pt>
                <c:pt idx="19">
                  <c:v>432.62</c:v>
                </c:pt>
                <c:pt idx="20">
                  <c:v>758.1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49E-4F9F-8B51-80A29EA4B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2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2 (Alex)'!$E$2:$E$22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3855.14</c:v>
                      </c:pt>
                      <c:pt idx="1">
                        <c:v>4231.8999999999996</c:v>
                      </c:pt>
                      <c:pt idx="2">
                        <c:v>5222.58</c:v>
                      </c:pt>
                      <c:pt idx="3">
                        <c:v>6228.78</c:v>
                      </c:pt>
                      <c:pt idx="4">
                        <c:v>7158.45</c:v>
                      </c:pt>
                      <c:pt idx="5">
                        <c:v>8033.95</c:v>
                      </c:pt>
                      <c:pt idx="6">
                        <c:v>8840.34</c:v>
                      </c:pt>
                      <c:pt idx="7">
                        <c:v>9611.73</c:v>
                      </c:pt>
                      <c:pt idx="8">
                        <c:v>10243.6</c:v>
                      </c:pt>
                      <c:pt idx="9">
                        <c:v>10955.28</c:v>
                      </c:pt>
                      <c:pt idx="10">
                        <c:v>11582.32</c:v>
                      </c:pt>
                      <c:pt idx="11">
                        <c:v>12213.07</c:v>
                      </c:pt>
                      <c:pt idx="12">
                        <c:v>13012.95</c:v>
                      </c:pt>
                      <c:pt idx="13">
                        <c:v>13982.93</c:v>
                      </c:pt>
                      <c:pt idx="14">
                        <c:v>15206.37</c:v>
                      </c:pt>
                      <c:pt idx="15">
                        <c:v>16582.54</c:v>
                      </c:pt>
                      <c:pt idx="16">
                        <c:v>18746.990000000002</c:v>
                      </c:pt>
                      <c:pt idx="17">
                        <c:v>21861.33</c:v>
                      </c:pt>
                      <c:pt idx="18">
                        <c:v>27287.43</c:v>
                      </c:pt>
                      <c:pt idx="19">
                        <c:v>39363.54</c:v>
                      </c:pt>
                      <c:pt idx="20">
                        <c:v>77502.03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2 (Alex)'!$D$2:$D$22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4303.63</c:v>
                      </c:pt>
                      <c:pt idx="1">
                        <c:v>4688.58</c:v>
                      </c:pt>
                      <c:pt idx="2">
                        <c:v>5708.44</c:v>
                      </c:pt>
                      <c:pt idx="3">
                        <c:v>6751.51</c:v>
                      </c:pt>
                      <c:pt idx="4">
                        <c:v>7735.37</c:v>
                      </c:pt>
                      <c:pt idx="5">
                        <c:v>8673.99</c:v>
                      </c:pt>
                      <c:pt idx="6">
                        <c:v>9546.5499999999993</c:v>
                      </c:pt>
                      <c:pt idx="7">
                        <c:v>10383.129999999999</c:v>
                      </c:pt>
                      <c:pt idx="8">
                        <c:v>11098.08</c:v>
                      </c:pt>
                      <c:pt idx="9">
                        <c:v>11898.83</c:v>
                      </c:pt>
                      <c:pt idx="10">
                        <c:v>12602.11</c:v>
                      </c:pt>
                      <c:pt idx="11">
                        <c:v>13303.08</c:v>
                      </c:pt>
                      <c:pt idx="12">
                        <c:v>14216.14</c:v>
                      </c:pt>
                      <c:pt idx="13">
                        <c:v>15340.71</c:v>
                      </c:pt>
                      <c:pt idx="14">
                        <c:v>16728.330000000002</c:v>
                      </c:pt>
                      <c:pt idx="15">
                        <c:v>18266.02</c:v>
                      </c:pt>
                      <c:pt idx="16">
                        <c:v>20676.28</c:v>
                      </c:pt>
                      <c:pt idx="17">
                        <c:v>24141.11</c:v>
                      </c:pt>
                      <c:pt idx="18">
                        <c:v>30194.7</c:v>
                      </c:pt>
                      <c:pt idx="19">
                        <c:v>43187</c:v>
                      </c:pt>
                      <c:pt idx="20">
                        <c:v>74650.69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749E-4F9F-8B51-80A29EA4B4F4}"/>
                  </c:ext>
                </c:extLst>
              </c15:ser>
            </c15:filteredScatterSeries>
          </c:ext>
        </c:extLst>
      </c:scatterChart>
      <c:valAx>
        <c:axId val="12315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5374747083852661"/>
              <c:y val="0.397485983798461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402102490968592"/>
          <c:h val="0.7811193687182189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705507649331065"/>
          <c:y val="0.1175159152622121"/>
          <c:w val="0.61994634088361544"/>
          <c:h val="0.73945155144960217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(Ty)'!$E$2:$E$21</c:f>
              <c:numCache>
                <c:formatCode>General</c:formatCode>
                <c:ptCount val="2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</c:numCache>
            </c:numRef>
          </c:xVal>
          <c:yVal>
            <c:numRef>
              <c:f>'Run 1 (Ty)'!$D$2:$D$21</c:f>
              <c:numCache>
                <c:formatCode>General</c:formatCode>
                <c:ptCount val="20"/>
                <c:pt idx="0">
                  <c:v>143.44999999999999</c:v>
                </c:pt>
                <c:pt idx="1">
                  <c:v>149.47</c:v>
                </c:pt>
                <c:pt idx="2">
                  <c:v>166.19</c:v>
                </c:pt>
                <c:pt idx="3">
                  <c:v>183.66</c:v>
                </c:pt>
                <c:pt idx="4">
                  <c:v>201.01</c:v>
                </c:pt>
                <c:pt idx="5">
                  <c:v>218.53</c:v>
                </c:pt>
                <c:pt idx="6">
                  <c:v>235.49</c:v>
                </c:pt>
                <c:pt idx="7">
                  <c:v>252.07</c:v>
                </c:pt>
                <c:pt idx="8">
                  <c:v>266.63</c:v>
                </c:pt>
                <c:pt idx="9">
                  <c:v>284.75</c:v>
                </c:pt>
                <c:pt idx="10">
                  <c:v>299.54000000000002</c:v>
                </c:pt>
                <c:pt idx="11">
                  <c:v>315.70999999999998</c:v>
                </c:pt>
                <c:pt idx="12">
                  <c:v>336.05</c:v>
                </c:pt>
                <c:pt idx="13">
                  <c:v>365.98</c:v>
                </c:pt>
                <c:pt idx="14">
                  <c:v>399.86</c:v>
                </c:pt>
                <c:pt idx="15">
                  <c:v>442.34</c:v>
                </c:pt>
                <c:pt idx="16">
                  <c:v>512.20000000000005</c:v>
                </c:pt>
                <c:pt idx="17">
                  <c:v>612</c:v>
                </c:pt>
                <c:pt idx="18">
                  <c:v>805.23</c:v>
                </c:pt>
                <c:pt idx="19">
                  <c:v>1253.42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29-46BA-B4B1-53FBAE721A5B}"/>
            </c:ext>
          </c:extLst>
        </c:ser>
        <c:ser>
          <c:idx val="2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(Ty)'!$E$22:$E$41</c:f>
              <c:numCache>
                <c:formatCode>General</c:formatCode>
                <c:ptCount val="2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</c:numCache>
            </c:numRef>
          </c:xVal>
          <c:yVal>
            <c:numRef>
              <c:f>'Run 1 (Ty)'!$D$22:$D$41</c:f>
              <c:numCache>
                <c:formatCode>General</c:formatCode>
                <c:ptCount val="20"/>
                <c:pt idx="0">
                  <c:v>14.7</c:v>
                </c:pt>
                <c:pt idx="1">
                  <c:v>16.18</c:v>
                </c:pt>
                <c:pt idx="2">
                  <c:v>20.7</c:v>
                </c:pt>
                <c:pt idx="3">
                  <c:v>24.79</c:v>
                </c:pt>
                <c:pt idx="4">
                  <c:v>28.77</c:v>
                </c:pt>
                <c:pt idx="5">
                  <c:v>32.42</c:v>
                </c:pt>
                <c:pt idx="6">
                  <c:v>35.659999999999997</c:v>
                </c:pt>
                <c:pt idx="7">
                  <c:v>38.74</c:v>
                </c:pt>
                <c:pt idx="8">
                  <c:v>41.25</c:v>
                </c:pt>
                <c:pt idx="9">
                  <c:v>44.26</c:v>
                </c:pt>
                <c:pt idx="10">
                  <c:v>46.83</c:v>
                </c:pt>
                <c:pt idx="11">
                  <c:v>49.43</c:v>
                </c:pt>
                <c:pt idx="12">
                  <c:v>52.81</c:v>
                </c:pt>
                <c:pt idx="13">
                  <c:v>57.18</c:v>
                </c:pt>
                <c:pt idx="14">
                  <c:v>62.01</c:v>
                </c:pt>
                <c:pt idx="15">
                  <c:v>67.72</c:v>
                </c:pt>
                <c:pt idx="16">
                  <c:v>76.569999999999993</c:v>
                </c:pt>
                <c:pt idx="17">
                  <c:v>88.74</c:v>
                </c:pt>
                <c:pt idx="18">
                  <c:v>110.27</c:v>
                </c:pt>
                <c:pt idx="19">
                  <c:v>157.13999999999999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29-46BA-B4B1-53FBAE721A5B}"/>
            </c:ext>
          </c:extLst>
        </c:ser>
        <c:ser>
          <c:idx val="3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(Ty)'!$E$42:$E$61</c:f>
              <c:numCache>
                <c:formatCode>General</c:formatCode>
                <c:ptCount val="20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</c:numCache>
            </c:numRef>
          </c:xVal>
          <c:yVal>
            <c:numRef>
              <c:f>'Run 1 (Ty)'!$D$42:$D$61</c:f>
              <c:numCache>
                <c:formatCode>General</c:formatCode>
                <c:ptCount val="20"/>
                <c:pt idx="0">
                  <c:v>25.47</c:v>
                </c:pt>
                <c:pt idx="1">
                  <c:v>29.1</c:v>
                </c:pt>
                <c:pt idx="2">
                  <c:v>35.89</c:v>
                </c:pt>
                <c:pt idx="3">
                  <c:v>42.39</c:v>
                </c:pt>
                <c:pt idx="4">
                  <c:v>48.9</c:v>
                </c:pt>
                <c:pt idx="5">
                  <c:v>54.54</c:v>
                </c:pt>
                <c:pt idx="6">
                  <c:v>58.88</c:v>
                </c:pt>
                <c:pt idx="7">
                  <c:v>65.540000000000006</c:v>
                </c:pt>
                <c:pt idx="8">
                  <c:v>70.03</c:v>
                </c:pt>
                <c:pt idx="9">
                  <c:v>73.489999999999995</c:v>
                </c:pt>
                <c:pt idx="10">
                  <c:v>75.680000000000007</c:v>
                </c:pt>
                <c:pt idx="11">
                  <c:v>78.27</c:v>
                </c:pt>
                <c:pt idx="12">
                  <c:v>87.8</c:v>
                </c:pt>
                <c:pt idx="13">
                  <c:v>95.25</c:v>
                </c:pt>
                <c:pt idx="14">
                  <c:v>98.96</c:v>
                </c:pt>
                <c:pt idx="15">
                  <c:v>103.52</c:v>
                </c:pt>
                <c:pt idx="16">
                  <c:v>111.51</c:v>
                </c:pt>
                <c:pt idx="17">
                  <c:v>119.77</c:v>
                </c:pt>
                <c:pt idx="18">
                  <c:v>144.38</c:v>
                </c:pt>
                <c:pt idx="19">
                  <c:v>190.78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29-46BA-B4B1-53FBAE721A5B}"/>
            </c:ext>
          </c:extLst>
        </c:ser>
        <c:ser>
          <c:idx val="4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(Ty)'!$E$62:$E$81</c:f>
              <c:numCache>
                <c:formatCode>General</c:formatCode>
                <c:ptCount val="20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</c:numCache>
            </c:numRef>
          </c:xVal>
          <c:yVal>
            <c:numRef>
              <c:f>'Run 1 (Ty)'!$D$62:$D$81</c:f>
              <c:numCache>
                <c:formatCode>General</c:formatCode>
                <c:ptCount val="20"/>
                <c:pt idx="0">
                  <c:v>33.61</c:v>
                </c:pt>
                <c:pt idx="1">
                  <c:v>39.24</c:v>
                </c:pt>
                <c:pt idx="2">
                  <c:v>50.87</c:v>
                </c:pt>
                <c:pt idx="3">
                  <c:v>61.86</c:v>
                </c:pt>
                <c:pt idx="4">
                  <c:v>73.78</c:v>
                </c:pt>
                <c:pt idx="5">
                  <c:v>85.85</c:v>
                </c:pt>
                <c:pt idx="6">
                  <c:v>97.58</c:v>
                </c:pt>
                <c:pt idx="7">
                  <c:v>109.39</c:v>
                </c:pt>
                <c:pt idx="8">
                  <c:v>119.5</c:v>
                </c:pt>
                <c:pt idx="9">
                  <c:v>131.49</c:v>
                </c:pt>
                <c:pt idx="10">
                  <c:v>142.1</c:v>
                </c:pt>
                <c:pt idx="11">
                  <c:v>153.31</c:v>
                </c:pt>
                <c:pt idx="12">
                  <c:v>168.07</c:v>
                </c:pt>
                <c:pt idx="13">
                  <c:v>187.11</c:v>
                </c:pt>
                <c:pt idx="14">
                  <c:v>211.69</c:v>
                </c:pt>
                <c:pt idx="15">
                  <c:v>241.11</c:v>
                </c:pt>
                <c:pt idx="16">
                  <c:v>288.60000000000002</c:v>
                </c:pt>
                <c:pt idx="17">
                  <c:v>357.13</c:v>
                </c:pt>
                <c:pt idx="18">
                  <c:v>477.03</c:v>
                </c:pt>
                <c:pt idx="19">
                  <c:v>721.28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29-46BA-B4B1-53FBAE721A5B}"/>
            </c:ext>
          </c:extLst>
        </c:ser>
        <c:ser>
          <c:idx val="5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(Ty)'!$E$82:$E$101</c:f>
              <c:numCache>
                <c:formatCode>General</c:formatCode>
                <c:ptCount val="20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</c:numCache>
            </c:numRef>
          </c:xVal>
          <c:yVal>
            <c:numRef>
              <c:f>'Run 1 (Ty)'!$D$82:$D$101</c:f>
              <c:numCache>
                <c:formatCode>General</c:formatCode>
                <c:ptCount val="20"/>
                <c:pt idx="0">
                  <c:v>56.49</c:v>
                </c:pt>
                <c:pt idx="1">
                  <c:v>67.41</c:v>
                </c:pt>
                <c:pt idx="2">
                  <c:v>89.88</c:v>
                </c:pt>
                <c:pt idx="3">
                  <c:v>109.95</c:v>
                </c:pt>
                <c:pt idx="4">
                  <c:v>128.11000000000001</c:v>
                </c:pt>
                <c:pt idx="5">
                  <c:v>144.63999999999999</c:v>
                </c:pt>
                <c:pt idx="6">
                  <c:v>159.84</c:v>
                </c:pt>
                <c:pt idx="7">
                  <c:v>174.68</c:v>
                </c:pt>
                <c:pt idx="8">
                  <c:v>186.7</c:v>
                </c:pt>
                <c:pt idx="9">
                  <c:v>200.51</c:v>
                </c:pt>
                <c:pt idx="10">
                  <c:v>211.91</c:v>
                </c:pt>
                <c:pt idx="11">
                  <c:v>223.78</c:v>
                </c:pt>
                <c:pt idx="12">
                  <c:v>238.84</c:v>
                </c:pt>
                <c:pt idx="13">
                  <c:v>257.83</c:v>
                </c:pt>
                <c:pt idx="14">
                  <c:v>280.25</c:v>
                </c:pt>
                <c:pt idx="15">
                  <c:v>306</c:v>
                </c:pt>
                <c:pt idx="16">
                  <c:v>346.67</c:v>
                </c:pt>
                <c:pt idx="17">
                  <c:v>402.15</c:v>
                </c:pt>
                <c:pt idx="18">
                  <c:v>501.62</c:v>
                </c:pt>
                <c:pt idx="19">
                  <c:v>714.34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29-46BA-B4B1-53FBAE721A5B}"/>
            </c:ext>
          </c:extLst>
        </c:ser>
        <c:ser>
          <c:idx val="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(Ty)'!$E$102:$E$121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1 (Ty)'!$D$102:$D$121</c:f>
              <c:numCache>
                <c:formatCode>General</c:formatCode>
                <c:ptCount val="20"/>
                <c:pt idx="0">
                  <c:v>78.099999999999994</c:v>
                </c:pt>
                <c:pt idx="1">
                  <c:v>88.73</c:v>
                </c:pt>
                <c:pt idx="2">
                  <c:v>110.72</c:v>
                </c:pt>
                <c:pt idx="3">
                  <c:v>131.22999999999999</c:v>
                </c:pt>
                <c:pt idx="4">
                  <c:v>151.69999999999999</c:v>
                </c:pt>
                <c:pt idx="5">
                  <c:v>173.04</c:v>
                </c:pt>
                <c:pt idx="6">
                  <c:v>187.9</c:v>
                </c:pt>
                <c:pt idx="7">
                  <c:v>204.63</c:v>
                </c:pt>
                <c:pt idx="8">
                  <c:v>216.66</c:v>
                </c:pt>
                <c:pt idx="9">
                  <c:v>231.99</c:v>
                </c:pt>
                <c:pt idx="10">
                  <c:v>243.02</c:v>
                </c:pt>
                <c:pt idx="11">
                  <c:v>256.2</c:v>
                </c:pt>
                <c:pt idx="12">
                  <c:v>275.08999999999997</c:v>
                </c:pt>
                <c:pt idx="13">
                  <c:v>300.38</c:v>
                </c:pt>
                <c:pt idx="14">
                  <c:v>318.26</c:v>
                </c:pt>
                <c:pt idx="15">
                  <c:v>342.5</c:v>
                </c:pt>
                <c:pt idx="16">
                  <c:v>381.95</c:v>
                </c:pt>
                <c:pt idx="17">
                  <c:v>419.71</c:v>
                </c:pt>
                <c:pt idx="18">
                  <c:v>485.13</c:v>
                </c:pt>
                <c:pt idx="19">
                  <c:v>639.75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29-46BA-B4B1-53FBAE721A5B}"/>
            </c:ext>
          </c:extLst>
        </c:ser>
        <c:ser>
          <c:idx val="6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(Ty)'!$E$122:$E$141</c:f>
              <c:numCache>
                <c:formatCode>General</c:formatCode>
                <c:ptCount val="20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</c:numCache>
            </c:numRef>
          </c:xVal>
          <c:yVal>
            <c:numRef>
              <c:f>'Run 1 (Ty)'!$D$122:$D$141</c:f>
              <c:numCache>
                <c:formatCode>General</c:formatCode>
                <c:ptCount val="20"/>
                <c:pt idx="0">
                  <c:v>54.83</c:v>
                </c:pt>
                <c:pt idx="1">
                  <c:v>61.13</c:v>
                </c:pt>
                <c:pt idx="2">
                  <c:v>73.52</c:v>
                </c:pt>
                <c:pt idx="3">
                  <c:v>84.73</c:v>
                </c:pt>
                <c:pt idx="4">
                  <c:v>94.64</c:v>
                </c:pt>
                <c:pt idx="5">
                  <c:v>104.55</c:v>
                </c:pt>
                <c:pt idx="6">
                  <c:v>113.74</c:v>
                </c:pt>
                <c:pt idx="7">
                  <c:v>122.57</c:v>
                </c:pt>
                <c:pt idx="8">
                  <c:v>130.38</c:v>
                </c:pt>
                <c:pt idx="9">
                  <c:v>139.66</c:v>
                </c:pt>
                <c:pt idx="10">
                  <c:v>147.34</c:v>
                </c:pt>
                <c:pt idx="11">
                  <c:v>155.44999999999999</c:v>
                </c:pt>
                <c:pt idx="12">
                  <c:v>165.84</c:v>
                </c:pt>
                <c:pt idx="13">
                  <c:v>180.97</c:v>
                </c:pt>
                <c:pt idx="14">
                  <c:v>198.23</c:v>
                </c:pt>
                <c:pt idx="15">
                  <c:v>219.19</c:v>
                </c:pt>
                <c:pt idx="16">
                  <c:v>254.75</c:v>
                </c:pt>
                <c:pt idx="17">
                  <c:v>308.55</c:v>
                </c:pt>
                <c:pt idx="18">
                  <c:v>419.9</c:v>
                </c:pt>
                <c:pt idx="19">
                  <c:v>694.57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29-46BA-B4B1-53FBAE721A5B}"/>
            </c:ext>
          </c:extLst>
        </c:ser>
        <c:ser>
          <c:idx val="7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(Ty)'!$E$142:$E$161</c:f>
              <c:numCache>
                <c:formatCode>General</c:formatCode>
                <c:ptCount val="20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</c:numCache>
            </c:numRef>
          </c:xVal>
          <c:yVal>
            <c:numRef>
              <c:f>'Run 1 (Ty)'!$D$142:$D$161</c:f>
              <c:numCache>
                <c:formatCode>General</c:formatCode>
                <c:ptCount val="20"/>
                <c:pt idx="0">
                  <c:v>66.33</c:v>
                </c:pt>
                <c:pt idx="1">
                  <c:v>78.61</c:v>
                </c:pt>
                <c:pt idx="2">
                  <c:v>104.62</c:v>
                </c:pt>
                <c:pt idx="3">
                  <c:v>127.76</c:v>
                </c:pt>
                <c:pt idx="4">
                  <c:v>147.83000000000001</c:v>
                </c:pt>
                <c:pt idx="5">
                  <c:v>167.2</c:v>
                </c:pt>
                <c:pt idx="6">
                  <c:v>185.61</c:v>
                </c:pt>
                <c:pt idx="7">
                  <c:v>203.22</c:v>
                </c:pt>
                <c:pt idx="8">
                  <c:v>216.95</c:v>
                </c:pt>
                <c:pt idx="9">
                  <c:v>232.04</c:v>
                </c:pt>
                <c:pt idx="10">
                  <c:v>244.99</c:v>
                </c:pt>
                <c:pt idx="11">
                  <c:v>258.57</c:v>
                </c:pt>
                <c:pt idx="12">
                  <c:v>275.42</c:v>
                </c:pt>
                <c:pt idx="13">
                  <c:v>296.8</c:v>
                </c:pt>
                <c:pt idx="14">
                  <c:v>321</c:v>
                </c:pt>
                <c:pt idx="15">
                  <c:v>349.3</c:v>
                </c:pt>
                <c:pt idx="16">
                  <c:v>392.49</c:v>
                </c:pt>
                <c:pt idx="17">
                  <c:v>452.93</c:v>
                </c:pt>
                <c:pt idx="18">
                  <c:v>567.84</c:v>
                </c:pt>
                <c:pt idx="19">
                  <c:v>813.38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29-46BA-B4B1-53FBAE721A5B}"/>
            </c:ext>
          </c:extLst>
        </c:ser>
        <c:ser>
          <c:idx val="8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(Ty)'!$E$162:$E$181</c:f>
              <c:numCache>
                <c:formatCode>General</c:formatCode>
                <c:ptCount val="20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</c:numCache>
            </c:numRef>
          </c:xVal>
          <c:yVal>
            <c:numRef>
              <c:f>'Run 1 (Ty)'!$D$162:$D$181</c:f>
              <c:numCache>
                <c:formatCode>General</c:formatCode>
                <c:ptCount val="20"/>
                <c:pt idx="0">
                  <c:v>66.75</c:v>
                </c:pt>
                <c:pt idx="1">
                  <c:v>80.760000000000005</c:v>
                </c:pt>
                <c:pt idx="2">
                  <c:v>107.9</c:v>
                </c:pt>
                <c:pt idx="3">
                  <c:v>132.01</c:v>
                </c:pt>
                <c:pt idx="4">
                  <c:v>154.22</c:v>
                </c:pt>
                <c:pt idx="5">
                  <c:v>174.97</c:v>
                </c:pt>
                <c:pt idx="6">
                  <c:v>194.64</c:v>
                </c:pt>
                <c:pt idx="7">
                  <c:v>213.26</c:v>
                </c:pt>
                <c:pt idx="8">
                  <c:v>228.69</c:v>
                </c:pt>
                <c:pt idx="9">
                  <c:v>245.85</c:v>
                </c:pt>
                <c:pt idx="10">
                  <c:v>261.41000000000003</c:v>
                </c:pt>
                <c:pt idx="11">
                  <c:v>277.49</c:v>
                </c:pt>
                <c:pt idx="12">
                  <c:v>297.48</c:v>
                </c:pt>
                <c:pt idx="13">
                  <c:v>322.77</c:v>
                </c:pt>
                <c:pt idx="14">
                  <c:v>351.82</c:v>
                </c:pt>
                <c:pt idx="15">
                  <c:v>385.83</c:v>
                </c:pt>
                <c:pt idx="16">
                  <c:v>439.3</c:v>
                </c:pt>
                <c:pt idx="17">
                  <c:v>512.41999999999996</c:v>
                </c:pt>
                <c:pt idx="18">
                  <c:v>643.14</c:v>
                </c:pt>
                <c:pt idx="19">
                  <c:v>924.01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D29-46BA-B4B1-53FBAE721A5B}"/>
            </c:ext>
          </c:extLst>
        </c:ser>
        <c:ser>
          <c:idx val="9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(Ty)'!$E$182:$E$201</c:f>
              <c:numCache>
                <c:formatCode>General</c:formatCode>
                <c:ptCount val="20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</c:numCache>
            </c:numRef>
          </c:xVal>
          <c:yVal>
            <c:numRef>
              <c:f>'Run 1 (Ty)'!$D$182:$D$201</c:f>
              <c:numCache>
                <c:formatCode>General</c:formatCode>
                <c:ptCount val="20"/>
                <c:pt idx="0">
                  <c:v>28.69</c:v>
                </c:pt>
                <c:pt idx="1">
                  <c:v>31.22</c:v>
                </c:pt>
                <c:pt idx="2">
                  <c:v>35.69</c:v>
                </c:pt>
                <c:pt idx="3">
                  <c:v>39.75</c:v>
                </c:pt>
                <c:pt idx="4">
                  <c:v>42.86</c:v>
                </c:pt>
                <c:pt idx="5">
                  <c:v>46.03</c:v>
                </c:pt>
                <c:pt idx="6">
                  <c:v>48.81</c:v>
                </c:pt>
                <c:pt idx="7">
                  <c:v>51</c:v>
                </c:pt>
                <c:pt idx="8">
                  <c:v>53.18</c:v>
                </c:pt>
                <c:pt idx="9">
                  <c:v>55.18</c:v>
                </c:pt>
                <c:pt idx="10">
                  <c:v>56.89</c:v>
                </c:pt>
                <c:pt idx="11">
                  <c:v>59.11</c:v>
                </c:pt>
                <c:pt idx="12">
                  <c:v>61.68</c:v>
                </c:pt>
                <c:pt idx="13">
                  <c:v>64.81</c:v>
                </c:pt>
                <c:pt idx="14">
                  <c:v>68.62</c:v>
                </c:pt>
                <c:pt idx="15">
                  <c:v>72.86</c:v>
                </c:pt>
                <c:pt idx="16">
                  <c:v>77.930000000000007</c:v>
                </c:pt>
                <c:pt idx="17">
                  <c:v>84.59</c:v>
                </c:pt>
                <c:pt idx="18">
                  <c:v>98.49</c:v>
                </c:pt>
                <c:pt idx="19">
                  <c:v>125.98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29-46BA-B4B1-53FBAE721A5B}"/>
            </c:ext>
          </c:extLst>
        </c:ser>
        <c:ser>
          <c:idx val="10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(Ty)'!$E$202:$E$221</c:f>
              <c:numCache>
                <c:formatCode>General</c:formatCode>
                <c:ptCount val="20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</c:numCache>
            </c:numRef>
          </c:xVal>
          <c:yVal>
            <c:numRef>
              <c:f>'Run 1 (Ty)'!$D$202:$D$221</c:f>
              <c:numCache>
                <c:formatCode>General</c:formatCode>
                <c:ptCount val="20"/>
                <c:pt idx="0">
                  <c:v>194.99</c:v>
                </c:pt>
                <c:pt idx="1">
                  <c:v>226.82</c:v>
                </c:pt>
                <c:pt idx="2">
                  <c:v>294.11</c:v>
                </c:pt>
                <c:pt idx="3">
                  <c:v>350.67</c:v>
                </c:pt>
                <c:pt idx="4">
                  <c:v>403.39</c:v>
                </c:pt>
                <c:pt idx="5">
                  <c:v>454.59</c:v>
                </c:pt>
                <c:pt idx="6">
                  <c:v>494.4</c:v>
                </c:pt>
                <c:pt idx="7">
                  <c:v>558.38</c:v>
                </c:pt>
                <c:pt idx="8">
                  <c:v>585.75</c:v>
                </c:pt>
                <c:pt idx="9">
                  <c:v>617.01</c:v>
                </c:pt>
                <c:pt idx="10">
                  <c:v>640.16</c:v>
                </c:pt>
                <c:pt idx="11">
                  <c:v>666.12</c:v>
                </c:pt>
                <c:pt idx="12">
                  <c:v>828.51</c:v>
                </c:pt>
                <c:pt idx="13">
                  <c:v>953.63</c:v>
                </c:pt>
                <c:pt idx="14">
                  <c:v>1003.66</c:v>
                </c:pt>
                <c:pt idx="15">
                  <c:v>1061.47</c:v>
                </c:pt>
                <c:pt idx="16">
                  <c:v>1140.4000000000001</c:v>
                </c:pt>
                <c:pt idx="17">
                  <c:v>1249.95</c:v>
                </c:pt>
                <c:pt idx="18">
                  <c:v>1593.93</c:v>
                </c:pt>
                <c:pt idx="19">
                  <c:v>2207.9899999999998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D29-46BA-B4B1-53FBAE721A5B}"/>
            </c:ext>
          </c:extLst>
        </c:ser>
        <c:ser>
          <c:idx val="11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(Ty)'!$E$222:$E$241</c:f>
              <c:numCache>
                <c:formatCode>General</c:formatCode>
                <c:ptCount val="20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</c:numCache>
            </c:numRef>
          </c:xVal>
          <c:yVal>
            <c:numRef>
              <c:f>'Run 1 (Ty)'!$D$222:$D$241</c:f>
              <c:numCache>
                <c:formatCode>General</c:formatCode>
                <c:ptCount val="20"/>
                <c:pt idx="0">
                  <c:v>176.36</c:v>
                </c:pt>
                <c:pt idx="1">
                  <c:v>182.23</c:v>
                </c:pt>
                <c:pt idx="2">
                  <c:v>189.78</c:v>
                </c:pt>
                <c:pt idx="3">
                  <c:v>202.35</c:v>
                </c:pt>
                <c:pt idx="4">
                  <c:v>214.17</c:v>
                </c:pt>
                <c:pt idx="5">
                  <c:v>231.17</c:v>
                </c:pt>
                <c:pt idx="6">
                  <c:v>252.85</c:v>
                </c:pt>
                <c:pt idx="7">
                  <c:v>290.70999999999998</c:v>
                </c:pt>
                <c:pt idx="8">
                  <c:v>302.2</c:v>
                </c:pt>
                <c:pt idx="9">
                  <c:v>322.67</c:v>
                </c:pt>
                <c:pt idx="10">
                  <c:v>332.61</c:v>
                </c:pt>
                <c:pt idx="11">
                  <c:v>345.95</c:v>
                </c:pt>
                <c:pt idx="12">
                  <c:v>553.07000000000005</c:v>
                </c:pt>
                <c:pt idx="13">
                  <c:v>653.25</c:v>
                </c:pt>
                <c:pt idx="14">
                  <c:v>669.86</c:v>
                </c:pt>
                <c:pt idx="15">
                  <c:v>694.61</c:v>
                </c:pt>
                <c:pt idx="16">
                  <c:v>728.94</c:v>
                </c:pt>
                <c:pt idx="17">
                  <c:v>785.15</c:v>
                </c:pt>
                <c:pt idx="18">
                  <c:v>1029.1400000000001</c:v>
                </c:pt>
                <c:pt idx="19">
                  <c:v>1415.07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29-46BA-B4B1-53FBAE721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911469717713879"/>
              <c:y val="0.91272846833670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Output Size</a:t>
            </a:r>
            <a:endParaRPr lang="en-CA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77005607136188"/>
          <c:y val="0.12039579559597302"/>
          <c:w val="0.71641062213025775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25400">
              <a:noFill/>
            </a:ln>
          </c:spPr>
          <c:xVal>
            <c:numRef>
              <c:f>'Run 1 (Ty)'!$D$2:$D$21</c:f>
              <c:numCache>
                <c:formatCode>General</c:formatCode>
                <c:ptCount val="20"/>
                <c:pt idx="0">
                  <c:v>143.44999999999999</c:v>
                </c:pt>
                <c:pt idx="1">
                  <c:v>149.47</c:v>
                </c:pt>
                <c:pt idx="2">
                  <c:v>166.19</c:v>
                </c:pt>
                <c:pt idx="3">
                  <c:v>183.66</c:v>
                </c:pt>
                <c:pt idx="4">
                  <c:v>201.01</c:v>
                </c:pt>
                <c:pt idx="5">
                  <c:v>218.53</c:v>
                </c:pt>
                <c:pt idx="6">
                  <c:v>235.49</c:v>
                </c:pt>
                <c:pt idx="7">
                  <c:v>252.07</c:v>
                </c:pt>
                <c:pt idx="8">
                  <c:v>266.63</c:v>
                </c:pt>
                <c:pt idx="9">
                  <c:v>284.75</c:v>
                </c:pt>
                <c:pt idx="10">
                  <c:v>299.54000000000002</c:v>
                </c:pt>
                <c:pt idx="11">
                  <c:v>315.70999999999998</c:v>
                </c:pt>
                <c:pt idx="12">
                  <c:v>336.05</c:v>
                </c:pt>
                <c:pt idx="13">
                  <c:v>365.98</c:v>
                </c:pt>
                <c:pt idx="14">
                  <c:v>399.86</c:v>
                </c:pt>
                <c:pt idx="15">
                  <c:v>442.34</c:v>
                </c:pt>
                <c:pt idx="16">
                  <c:v>512.20000000000005</c:v>
                </c:pt>
                <c:pt idx="17">
                  <c:v>612</c:v>
                </c:pt>
                <c:pt idx="18">
                  <c:v>805.23</c:v>
                </c:pt>
                <c:pt idx="19">
                  <c:v>1253.42</c:v>
                </c:pt>
              </c:numCache>
            </c:numRef>
          </c:xVal>
          <c:yVal>
            <c:numRef>
              <c:f>'Run 1 (Ty)'!$F$2:$F$21</c:f>
              <c:numCache>
                <c:formatCode>General</c:formatCode>
                <c:ptCount val="20"/>
                <c:pt idx="0">
                  <c:v>38.045400000000001</c:v>
                </c:pt>
                <c:pt idx="1">
                  <c:v>37.829300000000003</c:v>
                </c:pt>
                <c:pt idx="2">
                  <c:v>38.643000000000001</c:v>
                </c:pt>
                <c:pt idx="3">
                  <c:v>38.135100000000001</c:v>
                </c:pt>
                <c:pt idx="4">
                  <c:v>38.595199999999998</c:v>
                </c:pt>
                <c:pt idx="5">
                  <c:v>38.2697</c:v>
                </c:pt>
                <c:pt idx="6">
                  <c:v>38.083100000000002</c:v>
                </c:pt>
                <c:pt idx="7">
                  <c:v>39.180799999999998</c:v>
                </c:pt>
                <c:pt idx="8">
                  <c:v>38.969799999999999</c:v>
                </c:pt>
                <c:pt idx="9">
                  <c:v>39.054299999999998</c:v>
                </c:pt>
                <c:pt idx="10">
                  <c:v>39.484299999999998</c:v>
                </c:pt>
                <c:pt idx="11">
                  <c:v>39.303800000000003</c:v>
                </c:pt>
                <c:pt idx="12">
                  <c:v>39.397199999999998</c:v>
                </c:pt>
                <c:pt idx="13">
                  <c:v>39.423699999999997</c:v>
                </c:pt>
                <c:pt idx="14">
                  <c:v>40.625100000000003</c:v>
                </c:pt>
                <c:pt idx="15">
                  <c:v>41.5169</c:v>
                </c:pt>
                <c:pt idx="16">
                  <c:v>42.575000000000003</c:v>
                </c:pt>
                <c:pt idx="17">
                  <c:v>42.13</c:v>
                </c:pt>
                <c:pt idx="18">
                  <c:v>42.751399999999997</c:v>
                </c:pt>
                <c:pt idx="19">
                  <c:v>44.884399999999999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7-47E3-97BD-6D9ACC334820}"/>
            </c:ext>
          </c:extLst>
        </c:ser>
        <c:ser>
          <c:idx val="2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(Ty)'!$D$22:$D$41</c:f>
              <c:numCache>
                <c:formatCode>General</c:formatCode>
                <c:ptCount val="20"/>
                <c:pt idx="0">
                  <c:v>14.7</c:v>
                </c:pt>
                <c:pt idx="1">
                  <c:v>16.18</c:v>
                </c:pt>
                <c:pt idx="2">
                  <c:v>20.7</c:v>
                </c:pt>
                <c:pt idx="3">
                  <c:v>24.79</c:v>
                </c:pt>
                <c:pt idx="4">
                  <c:v>28.77</c:v>
                </c:pt>
                <c:pt idx="5">
                  <c:v>32.42</c:v>
                </c:pt>
                <c:pt idx="6">
                  <c:v>35.659999999999997</c:v>
                </c:pt>
                <c:pt idx="7">
                  <c:v>38.74</c:v>
                </c:pt>
                <c:pt idx="8">
                  <c:v>41.25</c:v>
                </c:pt>
                <c:pt idx="9">
                  <c:v>44.26</c:v>
                </c:pt>
                <c:pt idx="10">
                  <c:v>46.83</c:v>
                </c:pt>
                <c:pt idx="11">
                  <c:v>49.43</c:v>
                </c:pt>
                <c:pt idx="12">
                  <c:v>52.81</c:v>
                </c:pt>
                <c:pt idx="13">
                  <c:v>57.18</c:v>
                </c:pt>
                <c:pt idx="14">
                  <c:v>62.01</c:v>
                </c:pt>
                <c:pt idx="15">
                  <c:v>67.72</c:v>
                </c:pt>
                <c:pt idx="16">
                  <c:v>76.569999999999993</c:v>
                </c:pt>
                <c:pt idx="17">
                  <c:v>88.74</c:v>
                </c:pt>
                <c:pt idx="18">
                  <c:v>110.27</c:v>
                </c:pt>
                <c:pt idx="19">
                  <c:v>157.13999999999999</c:v>
                </c:pt>
              </c:numCache>
            </c:numRef>
          </c:xVal>
          <c:yVal>
            <c:numRef>
              <c:f>'Run 1 (Ty)'!$F$22:$F$41</c:f>
              <c:numCache>
                <c:formatCode>General</c:formatCode>
                <c:ptCount val="20"/>
                <c:pt idx="0">
                  <c:v>4.7777000000000003</c:v>
                </c:pt>
                <c:pt idx="1">
                  <c:v>4.7691999999999997</c:v>
                </c:pt>
                <c:pt idx="2">
                  <c:v>4.8456999999999999</c:v>
                </c:pt>
                <c:pt idx="3">
                  <c:v>5.1936999999999998</c:v>
                </c:pt>
                <c:pt idx="4">
                  <c:v>4.9095000000000004</c:v>
                </c:pt>
                <c:pt idx="5">
                  <c:v>4.7793000000000001</c:v>
                </c:pt>
                <c:pt idx="6">
                  <c:v>4.8198999999999996</c:v>
                </c:pt>
                <c:pt idx="7">
                  <c:v>4.8747999999999996</c:v>
                </c:pt>
                <c:pt idx="8">
                  <c:v>4.8992000000000004</c:v>
                </c:pt>
                <c:pt idx="9">
                  <c:v>5.0548999999999999</c:v>
                </c:pt>
                <c:pt idx="10">
                  <c:v>4.9145000000000003</c:v>
                </c:pt>
                <c:pt idx="11">
                  <c:v>5.0035999999999996</c:v>
                </c:pt>
                <c:pt idx="12">
                  <c:v>4.8810000000000002</c:v>
                </c:pt>
                <c:pt idx="13">
                  <c:v>4.9253</c:v>
                </c:pt>
                <c:pt idx="14">
                  <c:v>4.9103000000000003</c:v>
                </c:pt>
                <c:pt idx="15">
                  <c:v>5.0631000000000004</c:v>
                </c:pt>
                <c:pt idx="16">
                  <c:v>5.2343000000000002</c:v>
                </c:pt>
                <c:pt idx="17">
                  <c:v>5.0429000000000004</c:v>
                </c:pt>
                <c:pt idx="18">
                  <c:v>5.3623000000000003</c:v>
                </c:pt>
                <c:pt idx="19">
                  <c:v>5.36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97-47E3-97BD-6D9ACC334820}"/>
            </c:ext>
          </c:extLst>
        </c:ser>
        <c:ser>
          <c:idx val="3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(Ty)'!$D$42:$D$61</c:f>
              <c:numCache>
                <c:formatCode>General</c:formatCode>
                <c:ptCount val="20"/>
                <c:pt idx="0">
                  <c:v>25.47</c:v>
                </c:pt>
                <c:pt idx="1">
                  <c:v>29.1</c:v>
                </c:pt>
                <c:pt idx="2">
                  <c:v>35.89</c:v>
                </c:pt>
                <c:pt idx="3">
                  <c:v>42.39</c:v>
                </c:pt>
                <c:pt idx="4">
                  <c:v>48.9</c:v>
                </c:pt>
                <c:pt idx="5">
                  <c:v>54.54</c:v>
                </c:pt>
                <c:pt idx="6">
                  <c:v>58.88</c:v>
                </c:pt>
                <c:pt idx="7">
                  <c:v>65.540000000000006</c:v>
                </c:pt>
                <c:pt idx="8">
                  <c:v>70.03</c:v>
                </c:pt>
                <c:pt idx="9">
                  <c:v>73.489999999999995</c:v>
                </c:pt>
                <c:pt idx="10">
                  <c:v>75.680000000000007</c:v>
                </c:pt>
                <c:pt idx="11">
                  <c:v>78.27</c:v>
                </c:pt>
                <c:pt idx="12">
                  <c:v>87.8</c:v>
                </c:pt>
                <c:pt idx="13">
                  <c:v>95.25</c:v>
                </c:pt>
                <c:pt idx="14">
                  <c:v>98.96</c:v>
                </c:pt>
                <c:pt idx="15">
                  <c:v>103.52</c:v>
                </c:pt>
                <c:pt idx="16">
                  <c:v>111.51</c:v>
                </c:pt>
                <c:pt idx="17">
                  <c:v>119.77</c:v>
                </c:pt>
                <c:pt idx="18">
                  <c:v>144.38</c:v>
                </c:pt>
                <c:pt idx="19">
                  <c:v>190.78</c:v>
                </c:pt>
              </c:numCache>
            </c:numRef>
          </c:xVal>
          <c:yVal>
            <c:numRef>
              <c:f>'Run 1 (Ty)'!$F$42:$F$61</c:f>
              <c:numCache>
                <c:formatCode>General</c:formatCode>
                <c:ptCount val="20"/>
                <c:pt idx="0">
                  <c:v>9.9914000000000005</c:v>
                </c:pt>
                <c:pt idx="1">
                  <c:v>9.8435000000000006</c:v>
                </c:pt>
                <c:pt idx="2">
                  <c:v>9.2530000000000001</c:v>
                </c:pt>
                <c:pt idx="3">
                  <c:v>9.3294999999999995</c:v>
                </c:pt>
                <c:pt idx="4">
                  <c:v>9.1229999999999993</c:v>
                </c:pt>
                <c:pt idx="5">
                  <c:v>9.3428000000000004</c:v>
                </c:pt>
                <c:pt idx="6">
                  <c:v>9.0734999999999992</c:v>
                </c:pt>
                <c:pt idx="7">
                  <c:v>9.6976999999999993</c:v>
                </c:pt>
                <c:pt idx="8">
                  <c:v>9.2306000000000008</c:v>
                </c:pt>
                <c:pt idx="9">
                  <c:v>9.5361999999999991</c:v>
                </c:pt>
                <c:pt idx="10">
                  <c:v>9.4710000000000001</c:v>
                </c:pt>
                <c:pt idx="11">
                  <c:v>9.5556999999999999</c:v>
                </c:pt>
                <c:pt idx="12">
                  <c:v>9.6005000000000003</c:v>
                </c:pt>
                <c:pt idx="13">
                  <c:v>9.6455000000000002</c:v>
                </c:pt>
                <c:pt idx="14">
                  <c:v>9.7981999999999996</c:v>
                </c:pt>
                <c:pt idx="15">
                  <c:v>9.6471</c:v>
                </c:pt>
                <c:pt idx="16">
                  <c:v>9.6264000000000003</c:v>
                </c:pt>
                <c:pt idx="17">
                  <c:v>9.7578999999999994</c:v>
                </c:pt>
                <c:pt idx="18">
                  <c:v>9.6010000000000009</c:v>
                </c:pt>
                <c:pt idx="19">
                  <c:v>9.6563999999999997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97-47E3-97BD-6D9ACC334820}"/>
            </c:ext>
          </c:extLst>
        </c:ser>
        <c:ser>
          <c:idx val="4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(Ty)'!$D$62:$D$81</c:f>
              <c:numCache>
                <c:formatCode>General</c:formatCode>
                <c:ptCount val="20"/>
                <c:pt idx="0">
                  <c:v>33.61</c:v>
                </c:pt>
                <c:pt idx="1">
                  <c:v>39.24</c:v>
                </c:pt>
                <c:pt idx="2">
                  <c:v>50.87</c:v>
                </c:pt>
                <c:pt idx="3">
                  <c:v>61.86</c:v>
                </c:pt>
                <c:pt idx="4">
                  <c:v>73.78</c:v>
                </c:pt>
                <c:pt idx="5">
                  <c:v>85.85</c:v>
                </c:pt>
                <c:pt idx="6">
                  <c:v>97.58</c:v>
                </c:pt>
                <c:pt idx="7">
                  <c:v>109.39</c:v>
                </c:pt>
                <c:pt idx="8">
                  <c:v>119.5</c:v>
                </c:pt>
                <c:pt idx="9">
                  <c:v>131.49</c:v>
                </c:pt>
                <c:pt idx="10">
                  <c:v>142.1</c:v>
                </c:pt>
                <c:pt idx="11">
                  <c:v>153.31</c:v>
                </c:pt>
                <c:pt idx="12">
                  <c:v>168.07</c:v>
                </c:pt>
                <c:pt idx="13">
                  <c:v>187.11</c:v>
                </c:pt>
                <c:pt idx="14">
                  <c:v>211.69</c:v>
                </c:pt>
                <c:pt idx="15">
                  <c:v>241.11</c:v>
                </c:pt>
                <c:pt idx="16">
                  <c:v>288.60000000000002</c:v>
                </c:pt>
                <c:pt idx="17">
                  <c:v>357.13</c:v>
                </c:pt>
                <c:pt idx="18">
                  <c:v>477.03</c:v>
                </c:pt>
                <c:pt idx="19">
                  <c:v>721.28</c:v>
                </c:pt>
              </c:numCache>
            </c:numRef>
          </c:xVal>
          <c:yVal>
            <c:numRef>
              <c:f>'Run 1 (Ty)'!$F$62:$F$81</c:f>
              <c:numCache>
                <c:formatCode>General</c:formatCode>
                <c:ptCount val="20"/>
                <c:pt idx="0">
                  <c:v>9.4937000000000005</c:v>
                </c:pt>
                <c:pt idx="1">
                  <c:v>9.4162999999999997</c:v>
                </c:pt>
                <c:pt idx="2">
                  <c:v>9.4890000000000008</c:v>
                </c:pt>
                <c:pt idx="3">
                  <c:v>9.3581000000000003</c:v>
                </c:pt>
                <c:pt idx="4">
                  <c:v>9.5687999999999995</c:v>
                </c:pt>
                <c:pt idx="5">
                  <c:v>9.8368000000000002</c:v>
                </c:pt>
                <c:pt idx="6">
                  <c:v>9.8299000000000003</c:v>
                </c:pt>
                <c:pt idx="7">
                  <c:v>9.8945000000000007</c:v>
                </c:pt>
                <c:pt idx="8">
                  <c:v>10.0358</c:v>
                </c:pt>
                <c:pt idx="9">
                  <c:v>9.8363999999999994</c:v>
                </c:pt>
                <c:pt idx="10">
                  <c:v>9.8721999999999994</c:v>
                </c:pt>
                <c:pt idx="11">
                  <c:v>9.9332999999999991</c:v>
                </c:pt>
                <c:pt idx="12">
                  <c:v>10.619300000000001</c:v>
                </c:pt>
                <c:pt idx="13">
                  <c:v>10.068300000000001</c:v>
                </c:pt>
                <c:pt idx="14">
                  <c:v>10.2774</c:v>
                </c:pt>
                <c:pt idx="15">
                  <c:v>10.2773</c:v>
                </c:pt>
                <c:pt idx="16">
                  <c:v>10.418799999999999</c:v>
                </c:pt>
                <c:pt idx="17">
                  <c:v>11.2172</c:v>
                </c:pt>
                <c:pt idx="18">
                  <c:v>11.6632</c:v>
                </c:pt>
                <c:pt idx="19">
                  <c:v>12.664300000000001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97-47E3-97BD-6D9ACC334820}"/>
            </c:ext>
          </c:extLst>
        </c:ser>
        <c:ser>
          <c:idx val="5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(Ty)'!$D$82:$D$101</c:f>
              <c:numCache>
                <c:formatCode>General</c:formatCode>
                <c:ptCount val="20"/>
                <c:pt idx="0">
                  <c:v>56.49</c:v>
                </c:pt>
                <c:pt idx="1">
                  <c:v>67.41</c:v>
                </c:pt>
                <c:pt idx="2">
                  <c:v>89.88</c:v>
                </c:pt>
                <c:pt idx="3">
                  <c:v>109.95</c:v>
                </c:pt>
                <c:pt idx="4">
                  <c:v>128.11000000000001</c:v>
                </c:pt>
                <c:pt idx="5">
                  <c:v>144.63999999999999</c:v>
                </c:pt>
                <c:pt idx="6">
                  <c:v>159.84</c:v>
                </c:pt>
                <c:pt idx="7">
                  <c:v>174.68</c:v>
                </c:pt>
                <c:pt idx="8">
                  <c:v>186.7</c:v>
                </c:pt>
                <c:pt idx="9">
                  <c:v>200.51</c:v>
                </c:pt>
                <c:pt idx="10">
                  <c:v>211.91</c:v>
                </c:pt>
                <c:pt idx="11">
                  <c:v>223.78</c:v>
                </c:pt>
                <c:pt idx="12">
                  <c:v>238.84</c:v>
                </c:pt>
                <c:pt idx="13">
                  <c:v>257.83</c:v>
                </c:pt>
                <c:pt idx="14">
                  <c:v>280.25</c:v>
                </c:pt>
                <c:pt idx="15">
                  <c:v>306</c:v>
                </c:pt>
                <c:pt idx="16">
                  <c:v>346.67</c:v>
                </c:pt>
                <c:pt idx="17">
                  <c:v>402.15</c:v>
                </c:pt>
                <c:pt idx="18">
                  <c:v>501.62</c:v>
                </c:pt>
                <c:pt idx="19">
                  <c:v>714.34</c:v>
                </c:pt>
              </c:numCache>
            </c:numRef>
          </c:xVal>
          <c:yVal>
            <c:numRef>
              <c:f>'Run 1 (Ty)'!$F$82:$F$101</c:f>
              <c:numCache>
                <c:formatCode>General</c:formatCode>
                <c:ptCount val="20"/>
                <c:pt idx="0">
                  <c:v>18.303899999999999</c:v>
                </c:pt>
                <c:pt idx="1">
                  <c:v>18.434200000000001</c:v>
                </c:pt>
                <c:pt idx="2">
                  <c:v>18.118099999999998</c:v>
                </c:pt>
                <c:pt idx="3">
                  <c:v>18.415800000000001</c:v>
                </c:pt>
                <c:pt idx="4">
                  <c:v>18.487200000000001</c:v>
                </c:pt>
                <c:pt idx="5">
                  <c:v>21.1069</c:v>
                </c:pt>
                <c:pt idx="6">
                  <c:v>22.244599999999998</c:v>
                </c:pt>
                <c:pt idx="7">
                  <c:v>22.038399999999999</c:v>
                </c:pt>
                <c:pt idx="8">
                  <c:v>22.25</c:v>
                </c:pt>
                <c:pt idx="9">
                  <c:v>22.295500000000001</c:v>
                </c:pt>
                <c:pt idx="10">
                  <c:v>22.101700000000001</c:v>
                </c:pt>
                <c:pt idx="11">
                  <c:v>23.639800000000001</c:v>
                </c:pt>
                <c:pt idx="12">
                  <c:v>22.977799999999998</c:v>
                </c:pt>
                <c:pt idx="13">
                  <c:v>23.3065</c:v>
                </c:pt>
                <c:pt idx="14">
                  <c:v>23.4937</c:v>
                </c:pt>
                <c:pt idx="15">
                  <c:v>24.128399999999999</c:v>
                </c:pt>
                <c:pt idx="16">
                  <c:v>23.767900000000001</c:v>
                </c:pt>
                <c:pt idx="17">
                  <c:v>24.241099999999999</c:v>
                </c:pt>
                <c:pt idx="18">
                  <c:v>24.463799999999999</c:v>
                </c:pt>
                <c:pt idx="19">
                  <c:v>24.611000000000001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97-47E3-97BD-6D9ACC334820}"/>
            </c:ext>
          </c:extLst>
        </c:ser>
        <c:ser>
          <c:idx val="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(Ty)'!$D$102:$D$121</c:f>
              <c:numCache>
                <c:formatCode>General</c:formatCode>
                <c:ptCount val="20"/>
                <c:pt idx="0">
                  <c:v>78.099999999999994</c:v>
                </c:pt>
                <c:pt idx="1">
                  <c:v>88.73</c:v>
                </c:pt>
                <c:pt idx="2">
                  <c:v>110.72</c:v>
                </c:pt>
                <c:pt idx="3">
                  <c:v>131.22999999999999</c:v>
                </c:pt>
                <c:pt idx="4">
                  <c:v>151.69999999999999</c:v>
                </c:pt>
                <c:pt idx="5">
                  <c:v>173.04</c:v>
                </c:pt>
                <c:pt idx="6">
                  <c:v>187.9</c:v>
                </c:pt>
                <c:pt idx="7">
                  <c:v>204.63</c:v>
                </c:pt>
                <c:pt idx="8">
                  <c:v>216.66</c:v>
                </c:pt>
                <c:pt idx="9">
                  <c:v>231.99</c:v>
                </c:pt>
                <c:pt idx="10">
                  <c:v>243.02</c:v>
                </c:pt>
                <c:pt idx="11">
                  <c:v>256.2</c:v>
                </c:pt>
                <c:pt idx="12">
                  <c:v>275.08999999999997</c:v>
                </c:pt>
                <c:pt idx="13">
                  <c:v>300.38</c:v>
                </c:pt>
                <c:pt idx="14">
                  <c:v>318.26</c:v>
                </c:pt>
                <c:pt idx="15">
                  <c:v>342.5</c:v>
                </c:pt>
                <c:pt idx="16">
                  <c:v>381.95</c:v>
                </c:pt>
                <c:pt idx="17">
                  <c:v>419.71</c:v>
                </c:pt>
                <c:pt idx="18">
                  <c:v>485.13</c:v>
                </c:pt>
                <c:pt idx="19">
                  <c:v>639.75</c:v>
                </c:pt>
              </c:numCache>
            </c:numRef>
          </c:xVal>
          <c:yVal>
            <c:numRef>
              <c:f>'Run 1 (Ty)'!$F$102:$F$121</c:f>
              <c:numCache>
                <c:formatCode>General</c:formatCode>
                <c:ptCount val="20"/>
                <c:pt idx="0">
                  <c:v>22.854500000000002</c:v>
                </c:pt>
                <c:pt idx="1">
                  <c:v>23.228400000000001</c:v>
                </c:pt>
                <c:pt idx="2">
                  <c:v>22.927499999999998</c:v>
                </c:pt>
                <c:pt idx="3">
                  <c:v>22.987500000000001</c:v>
                </c:pt>
                <c:pt idx="4">
                  <c:v>23.023299999999999</c:v>
                </c:pt>
                <c:pt idx="5">
                  <c:v>23.0581</c:v>
                </c:pt>
                <c:pt idx="6">
                  <c:v>23.392299999999999</c:v>
                </c:pt>
                <c:pt idx="7">
                  <c:v>22.932099999999998</c:v>
                </c:pt>
                <c:pt idx="8">
                  <c:v>23.1325</c:v>
                </c:pt>
                <c:pt idx="9">
                  <c:v>23.067</c:v>
                </c:pt>
                <c:pt idx="10">
                  <c:v>23.1462</c:v>
                </c:pt>
                <c:pt idx="11">
                  <c:v>24.938700000000001</c:v>
                </c:pt>
                <c:pt idx="12">
                  <c:v>23.857099999999999</c:v>
                </c:pt>
                <c:pt idx="13">
                  <c:v>23.194299999999998</c:v>
                </c:pt>
                <c:pt idx="14">
                  <c:v>24.2986</c:v>
                </c:pt>
                <c:pt idx="15">
                  <c:v>24.7912</c:v>
                </c:pt>
                <c:pt idx="16">
                  <c:v>24.6646</c:v>
                </c:pt>
                <c:pt idx="17">
                  <c:v>23.6416</c:v>
                </c:pt>
                <c:pt idx="18">
                  <c:v>24.997</c:v>
                </c:pt>
                <c:pt idx="19">
                  <c:v>25.723299999999998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97-47E3-97BD-6D9ACC334820}"/>
            </c:ext>
          </c:extLst>
        </c:ser>
        <c:ser>
          <c:idx val="6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(Ty)'!$D$122:$D$141</c:f>
              <c:numCache>
                <c:formatCode>General</c:formatCode>
                <c:ptCount val="20"/>
                <c:pt idx="0">
                  <c:v>54.83</c:v>
                </c:pt>
                <c:pt idx="1">
                  <c:v>61.13</c:v>
                </c:pt>
                <c:pt idx="2">
                  <c:v>73.52</c:v>
                </c:pt>
                <c:pt idx="3">
                  <c:v>84.73</c:v>
                </c:pt>
                <c:pt idx="4">
                  <c:v>94.64</c:v>
                </c:pt>
                <c:pt idx="5">
                  <c:v>104.55</c:v>
                </c:pt>
                <c:pt idx="6">
                  <c:v>113.74</c:v>
                </c:pt>
                <c:pt idx="7">
                  <c:v>122.57</c:v>
                </c:pt>
                <c:pt idx="8">
                  <c:v>130.38</c:v>
                </c:pt>
                <c:pt idx="9">
                  <c:v>139.66</c:v>
                </c:pt>
                <c:pt idx="10">
                  <c:v>147.34</c:v>
                </c:pt>
                <c:pt idx="11">
                  <c:v>155.44999999999999</c:v>
                </c:pt>
                <c:pt idx="12">
                  <c:v>165.84</c:v>
                </c:pt>
                <c:pt idx="13">
                  <c:v>180.97</c:v>
                </c:pt>
                <c:pt idx="14">
                  <c:v>198.23</c:v>
                </c:pt>
                <c:pt idx="15">
                  <c:v>219.19</c:v>
                </c:pt>
                <c:pt idx="16">
                  <c:v>254.75</c:v>
                </c:pt>
                <c:pt idx="17">
                  <c:v>308.55</c:v>
                </c:pt>
                <c:pt idx="18">
                  <c:v>419.9</c:v>
                </c:pt>
                <c:pt idx="19">
                  <c:v>694.57</c:v>
                </c:pt>
              </c:numCache>
            </c:numRef>
          </c:xVal>
          <c:yVal>
            <c:numRef>
              <c:f>'Run 1 (Ty)'!$F$122:$F$141</c:f>
              <c:numCache>
                <c:formatCode>General</c:formatCode>
                <c:ptCount val="20"/>
                <c:pt idx="0">
                  <c:v>22.936499999999999</c:v>
                </c:pt>
                <c:pt idx="1">
                  <c:v>22.6068</c:v>
                </c:pt>
                <c:pt idx="2">
                  <c:v>22.84</c:v>
                </c:pt>
                <c:pt idx="3">
                  <c:v>22.5154</c:v>
                </c:pt>
                <c:pt idx="4">
                  <c:v>22.4665</c:v>
                </c:pt>
                <c:pt idx="5">
                  <c:v>22.628499999999999</c:v>
                </c:pt>
                <c:pt idx="6">
                  <c:v>23.150099999999998</c:v>
                </c:pt>
                <c:pt idx="7">
                  <c:v>21.8583</c:v>
                </c:pt>
                <c:pt idx="8">
                  <c:v>21.7925</c:v>
                </c:pt>
                <c:pt idx="9">
                  <c:v>21.659099999999999</c:v>
                </c:pt>
                <c:pt idx="10">
                  <c:v>22.2987</c:v>
                </c:pt>
                <c:pt idx="11">
                  <c:v>22.059200000000001</c:v>
                </c:pt>
                <c:pt idx="12">
                  <c:v>22.333300000000001</c:v>
                </c:pt>
                <c:pt idx="13">
                  <c:v>22.9114</c:v>
                </c:pt>
                <c:pt idx="14">
                  <c:v>23.6127</c:v>
                </c:pt>
                <c:pt idx="15">
                  <c:v>22.992100000000001</c:v>
                </c:pt>
                <c:pt idx="16">
                  <c:v>22.8522</c:v>
                </c:pt>
                <c:pt idx="17">
                  <c:v>23.391100000000002</c:v>
                </c:pt>
                <c:pt idx="18">
                  <c:v>23.257000000000001</c:v>
                </c:pt>
                <c:pt idx="19">
                  <c:v>24.312799999999999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97-47E3-97BD-6D9ACC334820}"/>
            </c:ext>
          </c:extLst>
        </c:ser>
        <c:ser>
          <c:idx val="7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(Ty)'!$D$142:$D$161</c:f>
              <c:numCache>
                <c:formatCode>General</c:formatCode>
                <c:ptCount val="20"/>
                <c:pt idx="0">
                  <c:v>66.33</c:v>
                </c:pt>
                <c:pt idx="1">
                  <c:v>78.61</c:v>
                </c:pt>
                <c:pt idx="2">
                  <c:v>104.62</c:v>
                </c:pt>
                <c:pt idx="3">
                  <c:v>127.76</c:v>
                </c:pt>
                <c:pt idx="4">
                  <c:v>147.83000000000001</c:v>
                </c:pt>
                <c:pt idx="5">
                  <c:v>167.2</c:v>
                </c:pt>
                <c:pt idx="6">
                  <c:v>185.61</c:v>
                </c:pt>
                <c:pt idx="7">
                  <c:v>203.22</c:v>
                </c:pt>
                <c:pt idx="8">
                  <c:v>216.95</c:v>
                </c:pt>
                <c:pt idx="9">
                  <c:v>232.04</c:v>
                </c:pt>
                <c:pt idx="10">
                  <c:v>244.99</c:v>
                </c:pt>
                <c:pt idx="11">
                  <c:v>258.57</c:v>
                </c:pt>
                <c:pt idx="12">
                  <c:v>275.42</c:v>
                </c:pt>
                <c:pt idx="13">
                  <c:v>296.8</c:v>
                </c:pt>
                <c:pt idx="14">
                  <c:v>321</c:v>
                </c:pt>
                <c:pt idx="15">
                  <c:v>349.3</c:v>
                </c:pt>
                <c:pt idx="16">
                  <c:v>392.49</c:v>
                </c:pt>
                <c:pt idx="17">
                  <c:v>452.93</c:v>
                </c:pt>
                <c:pt idx="18">
                  <c:v>567.84</c:v>
                </c:pt>
                <c:pt idx="19">
                  <c:v>813.38</c:v>
                </c:pt>
              </c:numCache>
            </c:numRef>
          </c:xVal>
          <c:yVal>
            <c:numRef>
              <c:f>'Run 1 (Ty)'!$F$142:$F$161</c:f>
              <c:numCache>
                <c:formatCode>General</c:formatCode>
                <c:ptCount val="20"/>
                <c:pt idx="0">
                  <c:v>21.663699999999999</c:v>
                </c:pt>
                <c:pt idx="1">
                  <c:v>21.7073</c:v>
                </c:pt>
                <c:pt idx="2">
                  <c:v>21.964400000000001</c:v>
                </c:pt>
                <c:pt idx="3">
                  <c:v>22.267199999999999</c:v>
                </c:pt>
                <c:pt idx="4">
                  <c:v>22.766400000000001</c:v>
                </c:pt>
                <c:pt idx="5">
                  <c:v>22.2379</c:v>
                </c:pt>
                <c:pt idx="6">
                  <c:v>22.867599999999999</c:v>
                </c:pt>
                <c:pt idx="7">
                  <c:v>22.572900000000001</c:v>
                </c:pt>
                <c:pt idx="8">
                  <c:v>22.683299999999999</c:v>
                </c:pt>
                <c:pt idx="9">
                  <c:v>22.8749</c:v>
                </c:pt>
                <c:pt idx="10">
                  <c:v>22.591100000000001</c:v>
                </c:pt>
                <c:pt idx="11">
                  <c:v>24.452300000000001</c:v>
                </c:pt>
                <c:pt idx="12">
                  <c:v>23.23</c:v>
                </c:pt>
                <c:pt idx="13">
                  <c:v>23.218900000000001</c:v>
                </c:pt>
                <c:pt idx="14">
                  <c:v>24.0716</c:v>
                </c:pt>
                <c:pt idx="15">
                  <c:v>24.047599999999999</c:v>
                </c:pt>
                <c:pt idx="16">
                  <c:v>23.469200000000001</c:v>
                </c:pt>
                <c:pt idx="17">
                  <c:v>23.750399999999999</c:v>
                </c:pt>
                <c:pt idx="18">
                  <c:v>23.8188</c:v>
                </c:pt>
                <c:pt idx="19">
                  <c:v>24.769400000000001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97-47E3-97BD-6D9ACC334820}"/>
            </c:ext>
          </c:extLst>
        </c:ser>
        <c:ser>
          <c:idx val="8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(Ty)'!$D$162:$D$181</c:f>
              <c:numCache>
                <c:formatCode>General</c:formatCode>
                <c:ptCount val="20"/>
                <c:pt idx="0">
                  <c:v>66.75</c:v>
                </c:pt>
                <c:pt idx="1">
                  <c:v>80.760000000000005</c:v>
                </c:pt>
                <c:pt idx="2">
                  <c:v>107.9</c:v>
                </c:pt>
                <c:pt idx="3">
                  <c:v>132.01</c:v>
                </c:pt>
                <c:pt idx="4">
                  <c:v>154.22</c:v>
                </c:pt>
                <c:pt idx="5">
                  <c:v>174.97</c:v>
                </c:pt>
                <c:pt idx="6">
                  <c:v>194.64</c:v>
                </c:pt>
                <c:pt idx="7">
                  <c:v>213.26</c:v>
                </c:pt>
                <c:pt idx="8">
                  <c:v>228.69</c:v>
                </c:pt>
                <c:pt idx="9">
                  <c:v>245.85</c:v>
                </c:pt>
                <c:pt idx="10">
                  <c:v>261.41000000000003</c:v>
                </c:pt>
                <c:pt idx="11">
                  <c:v>277.49</c:v>
                </c:pt>
                <c:pt idx="12">
                  <c:v>297.48</c:v>
                </c:pt>
                <c:pt idx="13">
                  <c:v>322.77</c:v>
                </c:pt>
                <c:pt idx="14">
                  <c:v>351.82</c:v>
                </c:pt>
                <c:pt idx="15">
                  <c:v>385.83</c:v>
                </c:pt>
                <c:pt idx="16">
                  <c:v>439.3</c:v>
                </c:pt>
                <c:pt idx="17">
                  <c:v>512.41999999999996</c:v>
                </c:pt>
                <c:pt idx="18">
                  <c:v>643.14</c:v>
                </c:pt>
                <c:pt idx="19">
                  <c:v>924.01</c:v>
                </c:pt>
              </c:numCache>
            </c:numRef>
          </c:xVal>
          <c:yVal>
            <c:numRef>
              <c:f>'Run 1 (Ty)'!$F$162:$F$181</c:f>
              <c:numCache>
                <c:formatCode>General</c:formatCode>
                <c:ptCount val="20"/>
                <c:pt idx="0">
                  <c:v>23.299900000000001</c:v>
                </c:pt>
                <c:pt idx="1">
                  <c:v>22.921500000000002</c:v>
                </c:pt>
                <c:pt idx="2">
                  <c:v>22.216799999999999</c:v>
                </c:pt>
                <c:pt idx="3">
                  <c:v>23.722799999999999</c:v>
                </c:pt>
                <c:pt idx="4">
                  <c:v>24.952500000000001</c:v>
                </c:pt>
                <c:pt idx="5">
                  <c:v>25.043700000000001</c:v>
                </c:pt>
                <c:pt idx="6">
                  <c:v>24.6645</c:v>
                </c:pt>
                <c:pt idx="7">
                  <c:v>24.1084</c:v>
                </c:pt>
                <c:pt idx="8">
                  <c:v>24.549600000000002</c:v>
                </c:pt>
                <c:pt idx="9">
                  <c:v>24.206299999999999</c:v>
                </c:pt>
                <c:pt idx="10">
                  <c:v>24.867000000000001</c:v>
                </c:pt>
                <c:pt idx="11">
                  <c:v>24.047699999999999</c:v>
                </c:pt>
                <c:pt idx="12">
                  <c:v>23.488299999999999</c:v>
                </c:pt>
                <c:pt idx="13">
                  <c:v>24.408200000000001</c:v>
                </c:pt>
                <c:pt idx="14">
                  <c:v>24.974799999999998</c:v>
                </c:pt>
                <c:pt idx="15">
                  <c:v>24.35</c:v>
                </c:pt>
                <c:pt idx="16">
                  <c:v>25.021599999999999</c:v>
                </c:pt>
                <c:pt idx="17">
                  <c:v>25.122800000000002</c:v>
                </c:pt>
                <c:pt idx="18">
                  <c:v>26.0654</c:v>
                </c:pt>
                <c:pt idx="19">
                  <c:v>26.0672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97-47E3-97BD-6D9ACC334820}"/>
            </c:ext>
          </c:extLst>
        </c:ser>
        <c:ser>
          <c:idx val="9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(Ty)'!$D$182:$D$201</c:f>
              <c:numCache>
                <c:formatCode>General</c:formatCode>
                <c:ptCount val="20"/>
                <c:pt idx="0">
                  <c:v>28.69</c:v>
                </c:pt>
                <c:pt idx="1">
                  <c:v>31.22</c:v>
                </c:pt>
                <c:pt idx="2">
                  <c:v>35.69</c:v>
                </c:pt>
                <c:pt idx="3">
                  <c:v>39.75</c:v>
                </c:pt>
                <c:pt idx="4">
                  <c:v>42.86</c:v>
                </c:pt>
                <c:pt idx="5">
                  <c:v>46.03</c:v>
                </c:pt>
                <c:pt idx="6">
                  <c:v>48.81</c:v>
                </c:pt>
                <c:pt idx="7">
                  <c:v>51</c:v>
                </c:pt>
                <c:pt idx="8">
                  <c:v>53.18</c:v>
                </c:pt>
                <c:pt idx="9">
                  <c:v>55.18</c:v>
                </c:pt>
                <c:pt idx="10">
                  <c:v>56.89</c:v>
                </c:pt>
                <c:pt idx="11">
                  <c:v>59.11</c:v>
                </c:pt>
                <c:pt idx="12">
                  <c:v>61.68</c:v>
                </c:pt>
                <c:pt idx="13">
                  <c:v>64.81</c:v>
                </c:pt>
                <c:pt idx="14">
                  <c:v>68.62</c:v>
                </c:pt>
                <c:pt idx="15">
                  <c:v>72.86</c:v>
                </c:pt>
                <c:pt idx="16">
                  <c:v>77.930000000000007</c:v>
                </c:pt>
                <c:pt idx="17">
                  <c:v>84.59</c:v>
                </c:pt>
                <c:pt idx="18">
                  <c:v>98.49</c:v>
                </c:pt>
                <c:pt idx="19">
                  <c:v>125.98</c:v>
                </c:pt>
              </c:numCache>
            </c:numRef>
          </c:xVal>
          <c:yVal>
            <c:numRef>
              <c:f>'Run 1 (Ty)'!$F$182:$F$201</c:f>
              <c:numCache>
                <c:formatCode>General</c:formatCode>
                <c:ptCount val="20"/>
                <c:pt idx="0">
                  <c:v>11.4353</c:v>
                </c:pt>
                <c:pt idx="1">
                  <c:v>11.1005</c:v>
                </c:pt>
                <c:pt idx="2">
                  <c:v>11.2506</c:v>
                </c:pt>
                <c:pt idx="3">
                  <c:v>11.391999999999999</c:v>
                </c:pt>
                <c:pt idx="4">
                  <c:v>12.261200000000001</c:v>
                </c:pt>
                <c:pt idx="5">
                  <c:v>11.930899999999999</c:v>
                </c:pt>
                <c:pt idx="6">
                  <c:v>11.8218</c:v>
                </c:pt>
                <c:pt idx="7">
                  <c:v>11.7996</c:v>
                </c:pt>
                <c:pt idx="8">
                  <c:v>12.575200000000001</c:v>
                </c:pt>
                <c:pt idx="9">
                  <c:v>11.7149</c:v>
                </c:pt>
                <c:pt idx="10">
                  <c:v>11.1029</c:v>
                </c:pt>
                <c:pt idx="11">
                  <c:v>11.2652</c:v>
                </c:pt>
                <c:pt idx="12">
                  <c:v>11.2135</c:v>
                </c:pt>
                <c:pt idx="13">
                  <c:v>11.5345</c:v>
                </c:pt>
                <c:pt idx="14">
                  <c:v>11.957100000000001</c:v>
                </c:pt>
                <c:pt idx="15">
                  <c:v>11.7834</c:v>
                </c:pt>
                <c:pt idx="16">
                  <c:v>11.681900000000001</c:v>
                </c:pt>
                <c:pt idx="17">
                  <c:v>11.8856</c:v>
                </c:pt>
                <c:pt idx="18">
                  <c:v>12.0947</c:v>
                </c:pt>
                <c:pt idx="19">
                  <c:v>11.803900000000001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97-47E3-97BD-6D9ACC334820}"/>
            </c:ext>
          </c:extLst>
        </c:ser>
        <c:ser>
          <c:idx val="10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(Ty)'!$D$202:$D$221</c:f>
              <c:numCache>
                <c:formatCode>General</c:formatCode>
                <c:ptCount val="20"/>
                <c:pt idx="0">
                  <c:v>194.99</c:v>
                </c:pt>
                <c:pt idx="1">
                  <c:v>226.82</c:v>
                </c:pt>
                <c:pt idx="2">
                  <c:v>294.11</c:v>
                </c:pt>
                <c:pt idx="3">
                  <c:v>350.67</c:v>
                </c:pt>
                <c:pt idx="4">
                  <c:v>403.39</c:v>
                </c:pt>
                <c:pt idx="5">
                  <c:v>454.59</c:v>
                </c:pt>
                <c:pt idx="6">
                  <c:v>494.4</c:v>
                </c:pt>
                <c:pt idx="7">
                  <c:v>558.38</c:v>
                </c:pt>
                <c:pt idx="8">
                  <c:v>585.75</c:v>
                </c:pt>
                <c:pt idx="9">
                  <c:v>617.01</c:v>
                </c:pt>
                <c:pt idx="10">
                  <c:v>640.16</c:v>
                </c:pt>
                <c:pt idx="11">
                  <c:v>666.12</c:v>
                </c:pt>
                <c:pt idx="12">
                  <c:v>828.51</c:v>
                </c:pt>
                <c:pt idx="13">
                  <c:v>953.63</c:v>
                </c:pt>
                <c:pt idx="14">
                  <c:v>1003.66</c:v>
                </c:pt>
                <c:pt idx="15">
                  <c:v>1061.47</c:v>
                </c:pt>
                <c:pt idx="16">
                  <c:v>1140.4000000000001</c:v>
                </c:pt>
                <c:pt idx="17">
                  <c:v>1249.95</c:v>
                </c:pt>
                <c:pt idx="18">
                  <c:v>1593.93</c:v>
                </c:pt>
                <c:pt idx="19">
                  <c:v>2207.9899999999998</c:v>
                </c:pt>
              </c:numCache>
            </c:numRef>
          </c:xVal>
          <c:yVal>
            <c:numRef>
              <c:f>'Run 1 (Ty)'!$F$202:$F$221</c:f>
              <c:numCache>
                <c:formatCode>General</c:formatCode>
                <c:ptCount val="20"/>
                <c:pt idx="0">
                  <c:v>90.482200000000006</c:v>
                </c:pt>
                <c:pt idx="1">
                  <c:v>87.025199999999998</c:v>
                </c:pt>
                <c:pt idx="2">
                  <c:v>85.926000000000002</c:v>
                </c:pt>
                <c:pt idx="3">
                  <c:v>87.687700000000007</c:v>
                </c:pt>
                <c:pt idx="4">
                  <c:v>86.1892</c:v>
                </c:pt>
                <c:pt idx="5">
                  <c:v>85.759699999999995</c:v>
                </c:pt>
                <c:pt idx="6">
                  <c:v>86.450400000000002</c:v>
                </c:pt>
                <c:pt idx="7">
                  <c:v>87.097200000000001</c:v>
                </c:pt>
                <c:pt idx="8">
                  <c:v>87.342799999999997</c:v>
                </c:pt>
                <c:pt idx="9">
                  <c:v>87.9071</c:v>
                </c:pt>
                <c:pt idx="10">
                  <c:v>90.712599999999995</c:v>
                </c:pt>
                <c:pt idx="11">
                  <c:v>87.141199999999998</c:v>
                </c:pt>
                <c:pt idx="12">
                  <c:v>87.908600000000007</c:v>
                </c:pt>
                <c:pt idx="13">
                  <c:v>88.4696</c:v>
                </c:pt>
                <c:pt idx="14">
                  <c:v>88.674300000000002</c:v>
                </c:pt>
                <c:pt idx="15">
                  <c:v>89.965900000000005</c:v>
                </c:pt>
                <c:pt idx="16">
                  <c:v>89.539100000000005</c:v>
                </c:pt>
                <c:pt idx="17">
                  <c:v>89.439700000000002</c:v>
                </c:pt>
                <c:pt idx="18">
                  <c:v>89.819699999999997</c:v>
                </c:pt>
                <c:pt idx="19">
                  <c:v>91.408000000000001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97-47E3-97BD-6D9ACC334820}"/>
            </c:ext>
          </c:extLst>
        </c:ser>
        <c:ser>
          <c:idx val="11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(Ty)'!$D$222:$D$241</c:f>
              <c:numCache>
                <c:formatCode>General</c:formatCode>
                <c:ptCount val="20"/>
                <c:pt idx="0">
                  <c:v>176.36</c:v>
                </c:pt>
                <c:pt idx="1">
                  <c:v>182.23</c:v>
                </c:pt>
                <c:pt idx="2">
                  <c:v>189.78</c:v>
                </c:pt>
                <c:pt idx="3">
                  <c:v>202.35</c:v>
                </c:pt>
                <c:pt idx="4">
                  <c:v>214.17</c:v>
                </c:pt>
                <c:pt idx="5">
                  <c:v>231.17</c:v>
                </c:pt>
                <c:pt idx="6">
                  <c:v>252.85</c:v>
                </c:pt>
                <c:pt idx="7">
                  <c:v>290.70999999999998</c:v>
                </c:pt>
                <c:pt idx="8">
                  <c:v>302.2</c:v>
                </c:pt>
                <c:pt idx="9">
                  <c:v>322.67</c:v>
                </c:pt>
                <c:pt idx="10">
                  <c:v>332.61</c:v>
                </c:pt>
                <c:pt idx="11">
                  <c:v>345.95</c:v>
                </c:pt>
                <c:pt idx="12">
                  <c:v>553.07000000000005</c:v>
                </c:pt>
                <c:pt idx="13">
                  <c:v>653.25</c:v>
                </c:pt>
                <c:pt idx="14">
                  <c:v>669.86</c:v>
                </c:pt>
                <c:pt idx="15">
                  <c:v>694.61</c:v>
                </c:pt>
                <c:pt idx="16">
                  <c:v>728.94</c:v>
                </c:pt>
                <c:pt idx="17">
                  <c:v>785.15</c:v>
                </c:pt>
                <c:pt idx="18">
                  <c:v>1029.1400000000001</c:v>
                </c:pt>
                <c:pt idx="19">
                  <c:v>1415.07</c:v>
                </c:pt>
              </c:numCache>
            </c:numRef>
          </c:xVal>
          <c:yVal>
            <c:numRef>
              <c:f>'Run 1 (Ty)'!$F$222:$F$241</c:f>
              <c:numCache>
                <c:formatCode>General</c:formatCode>
                <c:ptCount val="20"/>
                <c:pt idx="0">
                  <c:v>83.5655</c:v>
                </c:pt>
                <c:pt idx="1">
                  <c:v>83.769800000000004</c:v>
                </c:pt>
                <c:pt idx="2">
                  <c:v>85.512200000000007</c:v>
                </c:pt>
                <c:pt idx="3">
                  <c:v>85.896900000000002</c:v>
                </c:pt>
                <c:pt idx="4">
                  <c:v>86.325199999999995</c:v>
                </c:pt>
                <c:pt idx="5">
                  <c:v>89.334599999999995</c:v>
                </c:pt>
                <c:pt idx="6">
                  <c:v>89.944199999999995</c:v>
                </c:pt>
                <c:pt idx="7">
                  <c:v>90.290999999999997</c:v>
                </c:pt>
                <c:pt idx="8">
                  <c:v>88.083200000000005</c:v>
                </c:pt>
                <c:pt idx="9">
                  <c:v>87.448400000000007</c:v>
                </c:pt>
                <c:pt idx="10">
                  <c:v>87.286100000000005</c:v>
                </c:pt>
                <c:pt idx="11">
                  <c:v>85.970100000000002</c:v>
                </c:pt>
                <c:pt idx="12">
                  <c:v>89.701999999999998</c:v>
                </c:pt>
                <c:pt idx="13">
                  <c:v>87.880099999999999</c:v>
                </c:pt>
                <c:pt idx="14">
                  <c:v>90.820300000000003</c:v>
                </c:pt>
                <c:pt idx="15">
                  <c:v>90.258499999999998</c:v>
                </c:pt>
                <c:pt idx="16">
                  <c:v>92.924499999999995</c:v>
                </c:pt>
                <c:pt idx="17">
                  <c:v>90.956699999999998</c:v>
                </c:pt>
                <c:pt idx="18">
                  <c:v>89.386099999999999</c:v>
                </c:pt>
                <c:pt idx="19">
                  <c:v>89.785700000000006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97-47E3-97BD-6D9ACC334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4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200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4512008362196835"/>
              <c:y val="0.403429861979667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880791673906752E-2"/>
          <c:y val="1.7430182583321355E-2"/>
          <c:w val="0.13863535454887671"/>
          <c:h val="0.6329019269749391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Output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04713117496235"/>
          <c:y val="0.12039579559597302"/>
          <c:w val="0.70606402662916923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(Ty)'!$E$2:$E$21</c:f>
              <c:numCache>
                <c:formatCode>General</c:formatCode>
                <c:ptCount val="2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</c:numCache>
            </c:numRef>
          </c:xVal>
          <c:yVal>
            <c:numRef>
              <c:f>'Run 1 (Ty)'!$G$2:$G$21</c:f>
              <c:numCache>
                <c:formatCode>General</c:formatCode>
                <c:ptCount val="20"/>
                <c:pt idx="0">
                  <c:v>1.09E-2</c:v>
                </c:pt>
                <c:pt idx="1">
                  <c:v>8.0000000000000002E-3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8.9999999999999993E-3</c:v>
                </c:pt>
                <c:pt idx="11">
                  <c:v>9.4000000000000004E-3</c:v>
                </c:pt>
                <c:pt idx="12">
                  <c:v>1.03E-2</c:v>
                </c:pt>
                <c:pt idx="13">
                  <c:v>8.9999999999999993E-3</c:v>
                </c:pt>
                <c:pt idx="14">
                  <c:v>1.0999999999999999E-2</c:v>
                </c:pt>
                <c:pt idx="15">
                  <c:v>1.0800000000000001E-2</c:v>
                </c:pt>
                <c:pt idx="16">
                  <c:v>1.0999999999999999E-2</c:v>
                </c:pt>
                <c:pt idx="17">
                  <c:v>0.01</c:v>
                </c:pt>
                <c:pt idx="18">
                  <c:v>1.0999999999999999E-2</c:v>
                </c:pt>
                <c:pt idx="19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2-46AA-A589-4A3154A1508D}"/>
            </c:ext>
          </c:extLst>
        </c:ser>
        <c:ser>
          <c:idx val="2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(Ty)'!$E$22:$E$41</c:f>
              <c:numCache>
                <c:formatCode>General</c:formatCode>
                <c:ptCount val="2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</c:numCache>
            </c:numRef>
          </c:xVal>
          <c:yVal>
            <c:numRef>
              <c:f>'Run 1 (Ty)'!$G$22:$G$41</c:f>
              <c:numCache>
                <c:formatCode>General</c:formatCode>
                <c:ptCount val="20"/>
                <c:pt idx="0">
                  <c:v>1E-3</c:v>
                </c:pt>
                <c:pt idx="1">
                  <c:v>2E-3</c:v>
                </c:pt>
                <c:pt idx="2">
                  <c:v>1.1999999999999999E-3</c:v>
                </c:pt>
                <c:pt idx="3">
                  <c:v>1E-3</c:v>
                </c:pt>
                <c:pt idx="4">
                  <c:v>2E-3</c:v>
                </c:pt>
                <c:pt idx="5">
                  <c:v>1.9E-3</c:v>
                </c:pt>
                <c:pt idx="6">
                  <c:v>2E-3</c:v>
                </c:pt>
                <c:pt idx="7">
                  <c:v>1.6000000000000001E-3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2-46AA-A589-4A3154A1508D}"/>
            </c:ext>
          </c:extLst>
        </c:ser>
        <c:ser>
          <c:idx val="3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(Ty)'!$E$42:$E$61</c:f>
              <c:numCache>
                <c:formatCode>General</c:formatCode>
                <c:ptCount val="20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</c:numCache>
            </c:numRef>
          </c:xVal>
          <c:yVal>
            <c:numRef>
              <c:f>'Run 1 (Ty)'!$G$42:$G$61</c:f>
              <c:numCache>
                <c:formatCode>General</c:formatCode>
                <c:ptCount val="20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3.0000000000000001E-3</c:v>
                </c:pt>
                <c:pt idx="10">
                  <c:v>2E-3</c:v>
                </c:pt>
                <c:pt idx="11">
                  <c:v>3.0000000000000001E-3</c:v>
                </c:pt>
                <c:pt idx="12">
                  <c:v>2E-3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2E-3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82-46AA-A589-4A3154A1508D}"/>
            </c:ext>
          </c:extLst>
        </c:ser>
        <c:ser>
          <c:idx val="4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(Ty)'!$E$62:$E$81</c:f>
              <c:numCache>
                <c:formatCode>General</c:formatCode>
                <c:ptCount val="20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</c:numCache>
            </c:numRef>
          </c:xVal>
          <c:yVal>
            <c:numRef>
              <c:f>'Run 1 (Ty)'!$G$62:$G$81</c:f>
              <c:numCache>
                <c:formatCode>General</c:formatCode>
                <c:ptCount val="20"/>
                <c:pt idx="0">
                  <c:v>2.3999999999999998E-3</c:v>
                </c:pt>
                <c:pt idx="1">
                  <c:v>2.7000000000000001E-3</c:v>
                </c:pt>
                <c:pt idx="2">
                  <c:v>3.0000000000000001E-3</c:v>
                </c:pt>
                <c:pt idx="3">
                  <c:v>3.5999999999999999E-3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2.5000000000000001E-3</c:v>
                </c:pt>
                <c:pt idx="7">
                  <c:v>3.3999999999999998E-3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3.0000000000000001E-3</c:v>
                </c:pt>
                <c:pt idx="12">
                  <c:v>3.2000000000000002E-3</c:v>
                </c:pt>
                <c:pt idx="13">
                  <c:v>4.0000000000000001E-3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5.3E-3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82-46AA-A589-4A3154A1508D}"/>
            </c:ext>
          </c:extLst>
        </c:ser>
        <c:ser>
          <c:idx val="5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(Ty)'!$E$82:$E$101</c:f>
              <c:numCache>
                <c:formatCode>General</c:formatCode>
                <c:ptCount val="20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</c:numCache>
            </c:numRef>
          </c:xVal>
          <c:yVal>
            <c:numRef>
              <c:f>'Run 1 (Ty)'!$G$82:$G$101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5.1999999999999998E-3</c:v>
                </c:pt>
                <c:pt idx="12">
                  <c:v>4.1000000000000003E-3</c:v>
                </c:pt>
                <c:pt idx="13">
                  <c:v>5.0000000000000001E-3</c:v>
                </c:pt>
                <c:pt idx="14">
                  <c:v>4.1999999999999997E-3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6.0000000000000001E-3</c:v>
                </c:pt>
                <c:pt idx="19">
                  <c:v>7.4999999999999997E-3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82-46AA-A589-4A3154A1508D}"/>
            </c:ext>
          </c:extLst>
        </c:ser>
        <c:ser>
          <c:idx val="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(Ty)'!$E$102:$E$121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1 (Ty)'!$G$102:$G$121</c:f>
              <c:numCache>
                <c:formatCode>General</c:formatCode>
                <c:ptCount val="20"/>
                <c:pt idx="0">
                  <c:v>5.0000000000000001E-3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5.4999999999999997E-3</c:v>
                </c:pt>
                <c:pt idx="12">
                  <c:v>5.4999999999999997E-3</c:v>
                </c:pt>
                <c:pt idx="13">
                  <c:v>6.3E-3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7.0000000000000001E-3</c:v>
                </c:pt>
                <c:pt idx="19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82-46AA-A589-4A3154A1508D}"/>
            </c:ext>
          </c:extLst>
        </c:ser>
        <c:ser>
          <c:idx val="6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(Ty)'!$E$122:$E$141</c:f>
              <c:numCache>
                <c:formatCode>General</c:formatCode>
                <c:ptCount val="20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</c:numCache>
            </c:numRef>
          </c:xVal>
          <c:yVal>
            <c:numRef>
              <c:f>'Run 1 (Ty)'!$G$122:$G$141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4.4000000000000003E-3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4.4000000000000003E-3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5.3E-3</c:v>
                </c:pt>
                <c:pt idx="17">
                  <c:v>6.0000000000000001E-3</c:v>
                </c:pt>
                <c:pt idx="18">
                  <c:v>5.0000000000000001E-3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82-46AA-A589-4A3154A1508D}"/>
            </c:ext>
          </c:extLst>
        </c:ser>
        <c:ser>
          <c:idx val="7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(Ty)'!$E$142:$E$161</c:f>
              <c:numCache>
                <c:formatCode>General</c:formatCode>
                <c:ptCount val="20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</c:numCache>
            </c:numRef>
          </c:xVal>
          <c:yVal>
            <c:numRef>
              <c:f>'Run 1 (Ty)'!$G$142:$G$161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4.7000000000000002E-3</c:v>
                </c:pt>
                <c:pt idx="8">
                  <c:v>5.0000000000000001E-3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4.7999999999999996E-3</c:v>
                </c:pt>
                <c:pt idx="18">
                  <c:v>6.0000000000000001E-3</c:v>
                </c:pt>
                <c:pt idx="1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82-46AA-A589-4A3154A1508D}"/>
            </c:ext>
          </c:extLst>
        </c:ser>
        <c:ser>
          <c:idx val="8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(Ty)'!$E$162:$E$181</c:f>
              <c:numCache>
                <c:formatCode>General</c:formatCode>
                <c:ptCount val="20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</c:numCache>
            </c:numRef>
          </c:xVal>
          <c:yVal>
            <c:numRef>
              <c:f>'Run 1 (Ty)'!$G$162:$G$181</c:f>
              <c:numCache>
                <c:formatCode>General</c:formatCode>
                <c:ptCount val="20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A82-46AA-A589-4A3154A1508D}"/>
            </c:ext>
          </c:extLst>
        </c:ser>
        <c:ser>
          <c:idx val="9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(Ty)'!$E$182:$E$201</c:f>
              <c:numCache>
                <c:formatCode>General</c:formatCode>
                <c:ptCount val="20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</c:numCache>
            </c:numRef>
          </c:xVal>
          <c:yVal>
            <c:numRef>
              <c:f>'Run 1 (Ty)'!$G$182:$G$201</c:f>
              <c:numCache>
                <c:formatCode>General</c:formatCode>
                <c:ptCount val="20"/>
                <c:pt idx="0">
                  <c:v>4.0000000000000001E-3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1E-3</c:v>
                </c:pt>
                <c:pt idx="7">
                  <c:v>1.5E-3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4.0000000000000001E-3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82-46AA-A589-4A3154A1508D}"/>
            </c:ext>
          </c:extLst>
        </c:ser>
        <c:ser>
          <c:idx val="10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(Ty)'!$E$202:$E$221</c:f>
              <c:numCache>
                <c:formatCode>General</c:formatCode>
                <c:ptCount val="20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</c:numCache>
            </c:numRef>
          </c:xVal>
          <c:yVal>
            <c:numRef>
              <c:f>'Run 1 (Ty)'!$G$202:$G$221</c:f>
              <c:numCache>
                <c:formatCode>General</c:formatCode>
                <c:ptCount val="20"/>
                <c:pt idx="0">
                  <c:v>0.01</c:v>
                </c:pt>
                <c:pt idx="1">
                  <c:v>9.7000000000000003E-3</c:v>
                </c:pt>
                <c:pt idx="2">
                  <c:v>1.32E-2</c:v>
                </c:pt>
                <c:pt idx="3">
                  <c:v>1.0999999999999999E-2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1.2500000000000001E-2</c:v>
                </c:pt>
                <c:pt idx="8">
                  <c:v>1.2E-2</c:v>
                </c:pt>
                <c:pt idx="9">
                  <c:v>1.2E-2</c:v>
                </c:pt>
                <c:pt idx="10">
                  <c:v>1.2E-2</c:v>
                </c:pt>
                <c:pt idx="11">
                  <c:v>1.2999999999999999E-2</c:v>
                </c:pt>
                <c:pt idx="12">
                  <c:v>1.41E-2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1.72E-2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1.7999999999999999E-2</c:v>
                </c:pt>
                <c:pt idx="1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A82-46AA-A589-4A3154A1508D}"/>
            </c:ext>
          </c:extLst>
        </c:ser>
        <c:ser>
          <c:idx val="11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(Ty)'!$E$222:$E$241</c:f>
              <c:numCache>
                <c:formatCode>General</c:formatCode>
                <c:ptCount val="20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</c:numCache>
            </c:numRef>
          </c:xVal>
          <c:yVal>
            <c:numRef>
              <c:f>'Run 1 (Ty)'!$G$222:$G$241</c:f>
              <c:numCache>
                <c:formatCode>General</c:formatCode>
                <c:ptCount val="20"/>
                <c:pt idx="0">
                  <c:v>8.9999999999999993E-3</c:v>
                </c:pt>
                <c:pt idx="1">
                  <c:v>8.9999999999999993E-3</c:v>
                </c:pt>
                <c:pt idx="2">
                  <c:v>9.1999999999999998E-3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1.0999999999999999E-2</c:v>
                </c:pt>
                <c:pt idx="7">
                  <c:v>1.2E-2</c:v>
                </c:pt>
                <c:pt idx="8">
                  <c:v>1.4E-2</c:v>
                </c:pt>
                <c:pt idx="9">
                  <c:v>1.0999999999999999E-2</c:v>
                </c:pt>
                <c:pt idx="10">
                  <c:v>0.01</c:v>
                </c:pt>
                <c:pt idx="11">
                  <c:v>1.18E-2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1.2999999999999999E-2</c:v>
                </c:pt>
                <c:pt idx="16">
                  <c:v>1.43E-2</c:v>
                </c:pt>
                <c:pt idx="17">
                  <c:v>1.4E-2</c:v>
                </c:pt>
                <c:pt idx="18">
                  <c:v>1.4999999999999999E-2</c:v>
                </c:pt>
                <c:pt idx="19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A82-46AA-A589-4A3154A15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00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5.000000000000001E-2"/>
          <c:min val="5.0000000000000012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5374747083852661"/>
              <c:y val="0.397485983798461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241944564105636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143112900395609"/>
          <c:y val="0.12039579559597302"/>
          <c:w val="0.7526801306850941"/>
          <c:h val="0.762918544469198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(Ty)'!$I$2:$I$21</c:f>
              <c:numCache>
                <c:formatCode>General</c:formatCode>
                <c:ptCount val="20"/>
                <c:pt idx="0">
                  <c:v>1.6040219106949964E-2</c:v>
                </c:pt>
                <c:pt idx="1">
                  <c:v>1.7163537422786833E-2</c:v>
                </c:pt>
                <c:pt idx="2">
                  <c:v>2.032511562514221E-2</c:v>
                </c:pt>
                <c:pt idx="3">
                  <c:v>2.3699860842656396E-2</c:v>
                </c:pt>
                <c:pt idx="4">
                  <c:v>2.7031493630138462E-2</c:v>
                </c:pt>
                <c:pt idx="5">
                  <c:v>3.034157020260447E-2</c:v>
                </c:pt>
                <c:pt idx="6">
                  <c:v>3.3553446239997314E-2</c:v>
                </c:pt>
                <c:pt idx="7">
                  <c:v>3.6700653632341984E-2</c:v>
                </c:pt>
                <c:pt idx="8">
                  <c:v>3.9337697269306589E-2</c:v>
                </c:pt>
                <c:pt idx="9">
                  <c:v>4.254957330669943E-2</c:v>
                </c:pt>
                <c:pt idx="10">
                  <c:v>4.5318349368762174E-2</c:v>
                </c:pt>
                <c:pt idx="11">
                  <c:v>4.8290711905976579E-2</c:v>
                </c:pt>
                <c:pt idx="12">
                  <c:v>5.2096581423811947E-2</c:v>
                </c:pt>
                <c:pt idx="13">
                  <c:v>5.7145526007573416E-2</c:v>
                </c:pt>
                <c:pt idx="14">
                  <c:v>6.3480658087293099E-2</c:v>
                </c:pt>
                <c:pt idx="15">
                  <c:v>7.0963059832867464E-2</c:v>
                </c:pt>
                <c:pt idx="16">
                  <c:v>8.3441713192164077E-2</c:v>
                </c:pt>
                <c:pt idx="17">
                  <c:v>0.10142438678556116</c:v>
                </c:pt>
                <c:pt idx="18">
                  <c:v>0.13379224119967523</c:v>
                </c:pt>
                <c:pt idx="19">
                  <c:v>0.20555767125814045</c:v>
                </c:pt>
              </c:numCache>
            </c:numRef>
          </c:xVal>
          <c:yVal>
            <c:numRef>
              <c:f>'Run 1 (Ty)'!$G$2:$G$21</c:f>
              <c:numCache>
                <c:formatCode>General</c:formatCode>
                <c:ptCount val="20"/>
                <c:pt idx="0">
                  <c:v>1.09E-2</c:v>
                </c:pt>
                <c:pt idx="1">
                  <c:v>8.0000000000000002E-3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8.9999999999999993E-3</c:v>
                </c:pt>
                <c:pt idx="11">
                  <c:v>9.4000000000000004E-3</c:v>
                </c:pt>
                <c:pt idx="12">
                  <c:v>1.03E-2</c:v>
                </c:pt>
                <c:pt idx="13">
                  <c:v>8.9999999999999993E-3</c:v>
                </c:pt>
                <c:pt idx="14">
                  <c:v>1.0999999999999999E-2</c:v>
                </c:pt>
                <c:pt idx="15">
                  <c:v>1.0800000000000001E-2</c:v>
                </c:pt>
                <c:pt idx="16">
                  <c:v>1.0999999999999999E-2</c:v>
                </c:pt>
                <c:pt idx="17">
                  <c:v>0.01</c:v>
                </c:pt>
                <c:pt idx="18">
                  <c:v>1.0999999999999999E-2</c:v>
                </c:pt>
                <c:pt idx="19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4-403F-9553-3B74E8B1CB90}"/>
            </c:ext>
          </c:extLst>
        </c:ser>
        <c:ser>
          <c:idx val="2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(Ty)'!$I$22:$I$41</c:f>
              <c:numCache>
                <c:formatCode>General</c:formatCode>
                <c:ptCount val="20"/>
                <c:pt idx="0">
                  <c:v>1.8836175502925885E-2</c:v>
                </c:pt>
                <c:pt idx="1">
                  <c:v>2.2075997689429135E-2</c:v>
                </c:pt>
                <c:pt idx="2">
                  <c:v>3.1820579149609458E-2</c:v>
                </c:pt>
                <c:pt idx="3">
                  <c:v>4.1213552000401839E-2</c:v>
                </c:pt>
                <c:pt idx="4">
                  <c:v>4.997865233443001E-2</c:v>
                </c:pt>
                <c:pt idx="5">
                  <c:v>5.801542054901173E-2</c:v>
                </c:pt>
                <c:pt idx="6">
                  <c:v>6.5148052339452991E-2</c:v>
                </c:pt>
                <c:pt idx="7">
                  <c:v>7.2305799030564832E-2</c:v>
                </c:pt>
                <c:pt idx="8">
                  <c:v>7.783107717808975E-2</c:v>
                </c:pt>
                <c:pt idx="9">
                  <c:v>8.4310721551096257E-2</c:v>
                </c:pt>
                <c:pt idx="10">
                  <c:v>8.9760654996609485E-2</c:v>
                </c:pt>
                <c:pt idx="11">
                  <c:v>9.5587311952181231E-2</c:v>
                </c:pt>
                <c:pt idx="12">
                  <c:v>0.10302132255066931</c:v>
                </c:pt>
                <c:pt idx="13">
                  <c:v>0.11178642288469748</c:v>
                </c:pt>
                <c:pt idx="14">
                  <c:v>0.1223849109676771</c:v>
                </c:pt>
                <c:pt idx="15">
                  <c:v>0.13426425898485572</c:v>
                </c:pt>
                <c:pt idx="16">
                  <c:v>0.15282417058040534</c:v>
                </c:pt>
                <c:pt idx="17">
                  <c:v>0.17813999045633774</c:v>
                </c:pt>
                <c:pt idx="18">
                  <c:v>0.21940377225808072</c:v>
                </c:pt>
                <c:pt idx="19">
                  <c:v>0.30343822990180069</c:v>
                </c:pt>
              </c:numCache>
            </c:numRef>
          </c:xVal>
          <c:yVal>
            <c:numRef>
              <c:f>'Run 1 (Ty)'!$G$22:$G$41</c:f>
              <c:numCache>
                <c:formatCode>General</c:formatCode>
                <c:ptCount val="20"/>
                <c:pt idx="0">
                  <c:v>1E-3</c:v>
                </c:pt>
                <c:pt idx="1">
                  <c:v>2E-3</c:v>
                </c:pt>
                <c:pt idx="2">
                  <c:v>1.1999999999999999E-3</c:v>
                </c:pt>
                <c:pt idx="3">
                  <c:v>1E-3</c:v>
                </c:pt>
                <c:pt idx="4">
                  <c:v>2E-3</c:v>
                </c:pt>
                <c:pt idx="5">
                  <c:v>1.9E-3</c:v>
                </c:pt>
                <c:pt idx="6">
                  <c:v>2E-3</c:v>
                </c:pt>
                <c:pt idx="7">
                  <c:v>1.6000000000000001E-3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4-403F-9553-3B74E8B1CB90}"/>
            </c:ext>
          </c:extLst>
        </c:ser>
        <c:ser>
          <c:idx val="3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(Ty)'!$I$42:$I$61</c:f>
              <c:numCache>
                <c:formatCode>General</c:formatCode>
                <c:ptCount val="20"/>
                <c:pt idx="0">
                  <c:v>0.13028021748222501</c:v>
                </c:pt>
                <c:pt idx="1">
                  <c:v>0.15181932245922208</c:v>
                </c:pt>
                <c:pt idx="2">
                  <c:v>0.20242576327896278</c:v>
                </c:pt>
                <c:pt idx="3">
                  <c:v>0.2425763278962777</c:v>
                </c:pt>
                <c:pt idx="4">
                  <c:v>0.28262233375156837</c:v>
                </c:pt>
                <c:pt idx="5">
                  <c:v>0.31534922626516104</c:v>
                </c:pt>
                <c:pt idx="6">
                  <c:v>0.34995817649519029</c:v>
                </c:pt>
                <c:pt idx="7">
                  <c:v>0.39397741530740277</c:v>
                </c:pt>
                <c:pt idx="8">
                  <c:v>0.40892931827687157</c:v>
                </c:pt>
                <c:pt idx="9">
                  <c:v>0.42471769134253445</c:v>
                </c:pt>
                <c:pt idx="10">
                  <c:v>0.44102885821831866</c:v>
                </c:pt>
                <c:pt idx="11">
                  <c:v>0.46309075700543706</c:v>
                </c:pt>
                <c:pt idx="12">
                  <c:v>0.56168966959431199</c:v>
                </c:pt>
                <c:pt idx="13">
                  <c:v>0.62923462986198242</c:v>
                </c:pt>
                <c:pt idx="14">
                  <c:v>0.66206608113759935</c:v>
                </c:pt>
                <c:pt idx="15">
                  <c:v>0.7030531158511083</c:v>
                </c:pt>
                <c:pt idx="16">
                  <c:v>0.75439146800501888</c:v>
                </c:pt>
                <c:pt idx="17">
                  <c:v>0.82883730656629018</c:v>
                </c:pt>
                <c:pt idx="18">
                  <c:v>1.0391049769970724</c:v>
                </c:pt>
                <c:pt idx="19">
                  <c:v>1.3730656629025511</c:v>
                </c:pt>
              </c:numCache>
            </c:numRef>
          </c:xVal>
          <c:yVal>
            <c:numRef>
              <c:f>'Run 1 (Ty)'!$G$42:$G$61</c:f>
              <c:numCache>
                <c:formatCode>General</c:formatCode>
                <c:ptCount val="20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3.0000000000000001E-3</c:v>
                </c:pt>
                <c:pt idx="10">
                  <c:v>2E-3</c:v>
                </c:pt>
                <c:pt idx="11">
                  <c:v>3.0000000000000001E-3</c:v>
                </c:pt>
                <c:pt idx="12">
                  <c:v>2E-3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2E-3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34-403F-9553-3B74E8B1CB90}"/>
            </c:ext>
          </c:extLst>
        </c:ser>
        <c:ser>
          <c:idx val="4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(Ty)'!$I$62:$I$81</c:f>
              <c:numCache>
                <c:formatCode>General</c:formatCode>
                <c:ptCount val="20"/>
                <c:pt idx="0">
                  <c:v>1.0631968946404275E-2</c:v>
                </c:pt>
                <c:pt idx="1">
                  <c:v>1.3718479598989227E-2</c:v>
                </c:pt>
                <c:pt idx="2">
                  <c:v>1.9797256304080201E-2</c:v>
                </c:pt>
                <c:pt idx="3">
                  <c:v>2.5275223683667997E-2</c:v>
                </c:pt>
                <c:pt idx="4">
                  <c:v>3.0441005825494343E-2</c:v>
                </c:pt>
                <c:pt idx="5">
                  <c:v>3.5412408479657889E-2</c:v>
                </c:pt>
                <c:pt idx="6">
                  <c:v>4.005395503354519E-2</c:v>
                </c:pt>
                <c:pt idx="7">
                  <c:v>4.4613037562363414E-2</c:v>
                </c:pt>
                <c:pt idx="8">
                  <c:v>4.8318028402966347E-2</c:v>
                </c:pt>
                <c:pt idx="9">
                  <c:v>5.2665060581606984E-2</c:v>
                </c:pt>
                <c:pt idx="10">
                  <c:v>5.6428954297259248E-2</c:v>
                </c:pt>
                <c:pt idx="11">
                  <c:v>6.0404898363089099E-2</c:v>
                </c:pt>
                <c:pt idx="12">
                  <c:v>6.5594241654935173E-2</c:v>
                </c:pt>
                <c:pt idx="13">
                  <c:v>7.2120680210401064E-2</c:v>
                </c:pt>
                <c:pt idx="14">
                  <c:v>8.048488846740609E-2</c:v>
                </c:pt>
                <c:pt idx="15">
                  <c:v>9.0527828663317059E-2</c:v>
                </c:pt>
                <c:pt idx="16">
                  <c:v>0.10613120026388488</c:v>
                </c:pt>
                <c:pt idx="17">
                  <c:v>0.12765431080691048</c:v>
                </c:pt>
                <c:pt idx="18">
                  <c:v>0.16382067608719983</c:v>
                </c:pt>
                <c:pt idx="19">
                  <c:v>0.23577053795995781</c:v>
                </c:pt>
              </c:numCache>
            </c:numRef>
          </c:xVal>
          <c:yVal>
            <c:numRef>
              <c:f>'Run 1 (Ty)'!$G$62:$G$81</c:f>
              <c:numCache>
                <c:formatCode>General</c:formatCode>
                <c:ptCount val="20"/>
                <c:pt idx="0">
                  <c:v>2.3999999999999998E-3</c:v>
                </c:pt>
                <c:pt idx="1">
                  <c:v>2.7000000000000001E-3</c:v>
                </c:pt>
                <c:pt idx="2">
                  <c:v>3.0000000000000001E-3</c:v>
                </c:pt>
                <c:pt idx="3">
                  <c:v>3.5999999999999999E-3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2.5000000000000001E-3</c:v>
                </c:pt>
                <c:pt idx="7">
                  <c:v>3.3999999999999998E-3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3.0000000000000001E-3</c:v>
                </c:pt>
                <c:pt idx="12">
                  <c:v>3.2000000000000002E-3</c:v>
                </c:pt>
                <c:pt idx="13">
                  <c:v>4.0000000000000001E-3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5.3E-3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34-403F-9553-3B74E8B1CB90}"/>
            </c:ext>
          </c:extLst>
        </c:ser>
        <c:ser>
          <c:idx val="5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(Ty)'!$I$82:$I$101</c:f>
              <c:numCache>
                <c:formatCode>General</c:formatCode>
                <c:ptCount val="20"/>
                <c:pt idx="0">
                  <c:v>1.5421394307475819E-2</c:v>
                </c:pt>
                <c:pt idx="1">
                  <c:v>1.9920172836793728E-2</c:v>
                </c:pt>
                <c:pt idx="2">
                  <c:v>2.8797413725459423E-2</c:v>
                </c:pt>
                <c:pt idx="3">
                  <c:v>3.6293634228381014E-2</c:v>
                </c:pt>
                <c:pt idx="4">
                  <c:v>4.2979028368460417E-2</c:v>
                </c:pt>
                <c:pt idx="5">
                  <c:v>4.9026223693915662E-2</c:v>
                </c:pt>
                <c:pt idx="6">
                  <c:v>5.4560767512541651E-2</c:v>
                </c:pt>
                <c:pt idx="7">
                  <c:v>5.9995919712496661E-2</c:v>
                </c:pt>
                <c:pt idx="8">
                  <c:v>6.4154674283203331E-2</c:v>
                </c:pt>
                <c:pt idx="9">
                  <c:v>6.8836542636388845E-2</c:v>
                </c:pt>
                <c:pt idx="10">
                  <c:v>7.2801745107578336E-2</c:v>
                </c:pt>
                <c:pt idx="11">
                  <c:v>7.7002348780883315E-2</c:v>
                </c:pt>
                <c:pt idx="12">
                  <c:v>8.2223024330022015E-2</c:v>
                </c:pt>
                <c:pt idx="13">
                  <c:v>8.8610243614088494E-2</c:v>
                </c:pt>
                <c:pt idx="14">
                  <c:v>9.6462181489095689E-2</c:v>
                </c:pt>
                <c:pt idx="15">
                  <c:v>0.1055538990285777</c:v>
                </c:pt>
                <c:pt idx="16">
                  <c:v>0.11980874960112574</c:v>
                </c:pt>
                <c:pt idx="17">
                  <c:v>0.13932089368758596</c:v>
                </c:pt>
                <c:pt idx="18">
                  <c:v>0.17308788834659425</c:v>
                </c:pt>
                <c:pt idx="19">
                  <c:v>0.24497941547265945</c:v>
                </c:pt>
              </c:numCache>
            </c:numRef>
          </c:xVal>
          <c:yVal>
            <c:numRef>
              <c:f>'Run 1 (Ty)'!$G$82:$G$101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5.1999999999999998E-3</c:v>
                </c:pt>
                <c:pt idx="12">
                  <c:v>4.1000000000000003E-3</c:v>
                </c:pt>
                <c:pt idx="13">
                  <c:v>5.0000000000000001E-3</c:v>
                </c:pt>
                <c:pt idx="14">
                  <c:v>4.1999999999999997E-3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6.0000000000000001E-3</c:v>
                </c:pt>
                <c:pt idx="19">
                  <c:v>7.4999999999999997E-3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34-403F-9553-3B74E8B1CB90}"/>
            </c:ext>
          </c:extLst>
        </c:ser>
        <c:ser>
          <c:idx val="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(Ty)'!$I$102:$I$121</c:f>
              <c:numCache>
                <c:formatCode>General</c:formatCode>
                <c:ptCount val="20"/>
                <c:pt idx="0">
                  <c:v>0.10784479360252294</c:v>
                </c:pt>
                <c:pt idx="1">
                  <c:v>0.1291040153179028</c:v>
                </c:pt>
                <c:pt idx="2">
                  <c:v>0.17624035591597681</c:v>
                </c:pt>
                <c:pt idx="3">
                  <c:v>0.21839274652249818</c:v>
                </c:pt>
                <c:pt idx="4">
                  <c:v>0.25654671397195472</c:v>
                </c:pt>
                <c:pt idx="5">
                  <c:v>0.29436278650672976</c:v>
                </c:pt>
                <c:pt idx="6">
                  <c:v>0.32739201441684967</c:v>
                </c:pt>
                <c:pt idx="7">
                  <c:v>0.36850256236976969</c:v>
                </c:pt>
                <c:pt idx="8">
                  <c:v>0.39226783803570425</c:v>
                </c:pt>
                <c:pt idx="9">
                  <c:v>0.41665258771188829</c:v>
                </c:pt>
                <c:pt idx="10">
                  <c:v>0.44236075913724165</c:v>
                </c:pt>
                <c:pt idx="11">
                  <c:v>0.47426367066508984</c:v>
                </c:pt>
                <c:pt idx="12">
                  <c:v>0.51911922058906357</c:v>
                </c:pt>
                <c:pt idx="13">
                  <c:v>0.58120741116179531</c:v>
                </c:pt>
                <c:pt idx="14">
                  <c:v>0.62870980458410775</c:v>
                </c:pt>
                <c:pt idx="15">
                  <c:v>0.69499352368080192</c:v>
                </c:pt>
                <c:pt idx="16">
                  <c:v>0.79523568170299042</c:v>
                </c:pt>
                <c:pt idx="17">
                  <c:v>0.88919862589401377</c:v>
                </c:pt>
                <c:pt idx="18">
                  <c:v>1.0519231852227291</c:v>
                </c:pt>
                <c:pt idx="19">
                  <c:v>1.4119783747254604</c:v>
                </c:pt>
              </c:numCache>
            </c:numRef>
          </c:xVal>
          <c:yVal>
            <c:numRef>
              <c:f>'Run 1 (Ty)'!$G$102:$G$121</c:f>
              <c:numCache>
                <c:formatCode>General</c:formatCode>
                <c:ptCount val="20"/>
                <c:pt idx="0">
                  <c:v>5.0000000000000001E-3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5.4999999999999997E-3</c:v>
                </c:pt>
                <c:pt idx="12">
                  <c:v>5.4999999999999997E-3</c:v>
                </c:pt>
                <c:pt idx="13">
                  <c:v>6.3E-3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7.0000000000000001E-3</c:v>
                </c:pt>
                <c:pt idx="19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34-403F-9553-3B74E8B1CB90}"/>
            </c:ext>
          </c:extLst>
        </c:ser>
        <c:ser>
          <c:idx val="6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(Ty)'!$I$122:$I$141</c:f>
              <c:numCache>
                <c:formatCode>General</c:formatCode>
                <c:ptCount val="20"/>
                <c:pt idx="0">
                  <c:v>4.6560663670929828E-2</c:v>
                </c:pt>
                <c:pt idx="1">
                  <c:v>5.4631870031109572E-2</c:v>
                </c:pt>
                <c:pt idx="2">
                  <c:v>7.1361908053923256E-2</c:v>
                </c:pt>
                <c:pt idx="3">
                  <c:v>8.6329070169374356E-2</c:v>
                </c:pt>
                <c:pt idx="4">
                  <c:v>9.9153128240580701E-2</c:v>
                </c:pt>
                <c:pt idx="5">
                  <c:v>0.1115105426892499</c:v>
                </c:pt>
                <c:pt idx="6">
                  <c:v>0.12317663325267887</c:v>
                </c:pt>
                <c:pt idx="7">
                  <c:v>0.13441064638783268</c:v>
                </c:pt>
                <c:pt idx="8">
                  <c:v>0.14377808503283787</c:v>
                </c:pt>
                <c:pt idx="9">
                  <c:v>0.15508123055651574</c:v>
                </c:pt>
                <c:pt idx="10">
                  <c:v>0.16451780159004492</c:v>
                </c:pt>
                <c:pt idx="11">
                  <c:v>0.17428275146906325</c:v>
                </c:pt>
                <c:pt idx="12">
                  <c:v>0.18689941237469754</c:v>
                </c:pt>
                <c:pt idx="13">
                  <c:v>0.20285171102661598</c:v>
                </c:pt>
                <c:pt idx="14">
                  <c:v>0.22205323193916346</c:v>
                </c:pt>
                <c:pt idx="15">
                  <c:v>0.24424472865537503</c:v>
                </c:pt>
                <c:pt idx="16">
                  <c:v>0.28043553404770133</c:v>
                </c:pt>
                <c:pt idx="17">
                  <c:v>0.33287245074317318</c:v>
                </c:pt>
                <c:pt idx="18">
                  <c:v>0.43204286208088488</c:v>
                </c:pt>
                <c:pt idx="19">
                  <c:v>0.66973729692360862</c:v>
                </c:pt>
              </c:numCache>
            </c:numRef>
          </c:xVal>
          <c:yVal>
            <c:numRef>
              <c:f>'Run 1 (Ty)'!$G$122:$G$141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4.4000000000000003E-3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4.4000000000000003E-3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5.3E-3</c:v>
                </c:pt>
                <c:pt idx="17">
                  <c:v>6.0000000000000001E-3</c:v>
                </c:pt>
                <c:pt idx="18">
                  <c:v>5.0000000000000001E-3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34-403F-9553-3B74E8B1CB90}"/>
            </c:ext>
          </c:extLst>
        </c:ser>
        <c:ser>
          <c:idx val="7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(Ty)'!$I$142:$I$161</c:f>
              <c:numCache>
                <c:formatCode>General</c:formatCode>
                <c:ptCount val="20"/>
                <c:pt idx="0">
                  <c:v>1.9402120883951834E-2</c:v>
                </c:pt>
                <c:pt idx="1">
                  <c:v>2.433440914403354E-2</c:v>
                </c:pt>
                <c:pt idx="2">
                  <c:v>3.457426846659447E-2</c:v>
                </c:pt>
                <c:pt idx="3">
                  <c:v>4.3790141856899313E-2</c:v>
                </c:pt>
                <c:pt idx="4">
                  <c:v>5.1638913609898883E-2</c:v>
                </c:pt>
                <c:pt idx="5">
                  <c:v>5.9123124926283736E-2</c:v>
                </c:pt>
                <c:pt idx="6">
                  <c:v>6.6762810546518989E-2</c:v>
                </c:pt>
                <c:pt idx="7">
                  <c:v>7.4005768632791138E-2</c:v>
                </c:pt>
                <c:pt idx="8">
                  <c:v>7.9206116037442501E-2</c:v>
                </c:pt>
                <c:pt idx="9">
                  <c:v>8.4620910757749593E-2</c:v>
                </c:pt>
                <c:pt idx="10">
                  <c:v>8.9285139873261629E-2</c:v>
                </c:pt>
                <c:pt idx="11">
                  <c:v>9.4067315012384342E-2</c:v>
                </c:pt>
                <c:pt idx="12">
                  <c:v>9.9803780706175016E-2</c:v>
                </c:pt>
                <c:pt idx="13">
                  <c:v>0.10655350996643899</c:v>
                </c:pt>
                <c:pt idx="14">
                  <c:v>0.11445053236546111</c:v>
                </c:pt>
                <c:pt idx="15">
                  <c:v>0.12390765898587865</c:v>
                </c:pt>
                <c:pt idx="16">
                  <c:v>0.13710689126448861</c:v>
                </c:pt>
                <c:pt idx="17">
                  <c:v>0.15454145802729913</c:v>
                </c:pt>
                <c:pt idx="18">
                  <c:v>0.18682114021637736</c:v>
                </c:pt>
                <c:pt idx="19">
                  <c:v>0.25501538659489831</c:v>
                </c:pt>
              </c:numCache>
            </c:numRef>
          </c:xVal>
          <c:yVal>
            <c:numRef>
              <c:f>'Run 1 (Ty)'!$G$142:$G$161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4.7000000000000002E-3</c:v>
                </c:pt>
                <c:pt idx="8">
                  <c:v>5.0000000000000001E-3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4.7999999999999996E-3</c:v>
                </c:pt>
                <c:pt idx="18">
                  <c:v>6.0000000000000001E-3</c:v>
                </c:pt>
                <c:pt idx="1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34-403F-9553-3B74E8B1CB90}"/>
            </c:ext>
          </c:extLst>
        </c:ser>
        <c:ser>
          <c:idx val="8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(Ty)'!$I$162:$I$181</c:f>
              <c:numCache>
                <c:formatCode>General</c:formatCode>
                <c:ptCount val="20"/>
                <c:pt idx="0">
                  <c:v>1.7256376441538761E-2</c:v>
                </c:pt>
                <c:pt idx="1">
                  <c:v>2.2311699729696866E-2</c:v>
                </c:pt>
                <c:pt idx="2">
                  <c:v>3.1664749291506492E-2</c:v>
                </c:pt>
                <c:pt idx="3">
                  <c:v>3.9680312765977339E-2</c:v>
                </c:pt>
                <c:pt idx="4">
                  <c:v>4.6849425255104424E-2</c:v>
                </c:pt>
                <c:pt idx="5">
                  <c:v>5.3611680088292785E-2</c:v>
                </c:pt>
                <c:pt idx="6">
                  <c:v>6.0224286128492191E-2</c:v>
                </c:pt>
                <c:pt idx="7">
                  <c:v>6.6397298839286537E-2</c:v>
                </c:pt>
                <c:pt idx="8">
                  <c:v>7.1340385532702943E-2</c:v>
                </c:pt>
                <c:pt idx="9">
                  <c:v>7.6751124704209805E-2</c:v>
                </c:pt>
                <c:pt idx="10">
                  <c:v>8.1572621753322666E-2</c:v>
                </c:pt>
                <c:pt idx="11">
                  <c:v>8.6796299933593335E-2</c:v>
                </c:pt>
                <c:pt idx="12">
                  <c:v>9.2945930020483167E-2</c:v>
                </c:pt>
                <c:pt idx="13">
                  <c:v>0.10082119775152688</c:v>
                </c:pt>
                <c:pt idx="14">
                  <c:v>0.11020698298680284</c:v>
                </c:pt>
                <c:pt idx="15">
                  <c:v>0.12113602139977737</c:v>
                </c:pt>
                <c:pt idx="16">
                  <c:v>0.13769559564896133</c:v>
                </c:pt>
                <c:pt idx="17">
                  <c:v>0.16023176856814164</c:v>
                </c:pt>
                <c:pt idx="18">
                  <c:v>0.19938363403387674</c:v>
                </c:pt>
                <c:pt idx="19">
                  <c:v>0.28236388974625171</c:v>
                </c:pt>
              </c:numCache>
            </c:numRef>
          </c:xVal>
          <c:yVal>
            <c:numRef>
              <c:f>'Run 1 (Ty)'!$G$162:$G$181</c:f>
              <c:numCache>
                <c:formatCode>General</c:formatCode>
                <c:ptCount val="20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34-403F-9553-3B74E8B1CB90}"/>
            </c:ext>
          </c:extLst>
        </c:ser>
        <c:ser>
          <c:idx val="9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(Ty)'!$I$182:$I$201</c:f>
              <c:numCache>
                <c:formatCode>General</c:formatCode>
                <c:ptCount val="20"/>
                <c:pt idx="0">
                  <c:v>0.29864603481624757</c:v>
                </c:pt>
                <c:pt idx="1">
                  <c:v>0.33655705996131524</c:v>
                </c:pt>
                <c:pt idx="2">
                  <c:v>0.40735009671179878</c:v>
                </c:pt>
                <c:pt idx="3">
                  <c:v>0.46847195357833649</c:v>
                </c:pt>
                <c:pt idx="4">
                  <c:v>0.51914893617021274</c:v>
                </c:pt>
                <c:pt idx="5">
                  <c:v>0.56885880077369433</c:v>
                </c:pt>
                <c:pt idx="6">
                  <c:v>0.61760154738878137</c:v>
                </c:pt>
                <c:pt idx="7">
                  <c:v>0.65261121856866533</c:v>
                </c:pt>
                <c:pt idx="8">
                  <c:v>0.68239845261121856</c:v>
                </c:pt>
                <c:pt idx="9">
                  <c:v>0.7135396518375241</c:v>
                </c:pt>
                <c:pt idx="10">
                  <c:v>0.74216634429400374</c:v>
                </c:pt>
                <c:pt idx="11">
                  <c:v>0.77678916827852984</c:v>
                </c:pt>
                <c:pt idx="12">
                  <c:v>0.81605415860734998</c:v>
                </c:pt>
                <c:pt idx="13">
                  <c:v>0.86170212765957432</c:v>
                </c:pt>
                <c:pt idx="14">
                  <c:v>0.92301740812379107</c:v>
                </c:pt>
                <c:pt idx="15">
                  <c:v>0.98355899419729209</c:v>
                </c:pt>
                <c:pt idx="16">
                  <c:v>1.0528046421663442</c:v>
                </c:pt>
                <c:pt idx="17">
                  <c:v>1.1381044487427465</c:v>
                </c:pt>
                <c:pt idx="18">
                  <c:v>1.3085106382978724</c:v>
                </c:pt>
                <c:pt idx="19">
                  <c:v>1.6156673114119922</c:v>
                </c:pt>
              </c:numCache>
            </c:numRef>
          </c:xVal>
          <c:yVal>
            <c:numRef>
              <c:f>'Run 1 (Ty)'!$G$182:$G$201</c:f>
              <c:numCache>
                <c:formatCode>General</c:formatCode>
                <c:ptCount val="20"/>
                <c:pt idx="0">
                  <c:v>4.0000000000000001E-3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1E-3</c:v>
                </c:pt>
                <c:pt idx="7">
                  <c:v>1.5E-3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4.0000000000000001E-3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34-403F-9553-3B74E8B1CB90}"/>
            </c:ext>
          </c:extLst>
        </c:ser>
        <c:ser>
          <c:idx val="10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(Ty)'!$I$202:$I$221</c:f>
              <c:numCache>
                <c:formatCode>General</c:formatCode>
                <c:ptCount val="20"/>
                <c:pt idx="0">
                  <c:v>6.5707918142836825E-3</c:v>
                </c:pt>
                <c:pt idx="1">
                  <c:v>8.3706468504230365E-3</c:v>
                </c:pt>
                <c:pt idx="2">
                  <c:v>1.2084837728538238E-2</c:v>
                </c:pt>
                <c:pt idx="3">
                  <c:v>1.4979373132912893E-2</c:v>
                </c:pt>
                <c:pt idx="4">
                  <c:v>1.7489144645482072E-2</c:v>
                </c:pt>
                <c:pt idx="5">
                  <c:v>1.9935917844780288E-2</c:v>
                </c:pt>
                <c:pt idx="6">
                  <c:v>2.2110375754455607E-2</c:v>
                </c:pt>
                <c:pt idx="7">
                  <c:v>2.5695860401157001E-2</c:v>
                </c:pt>
                <c:pt idx="8">
                  <c:v>2.6872506316766357E-2</c:v>
                </c:pt>
                <c:pt idx="9">
                  <c:v>2.7908930180256464E-2</c:v>
                </c:pt>
                <c:pt idx="10">
                  <c:v>2.9015803770415179E-2</c:v>
                </c:pt>
                <c:pt idx="11">
                  <c:v>3.0596858213151071E-2</c:v>
                </c:pt>
                <c:pt idx="12">
                  <c:v>4.1652046090378869E-2</c:v>
                </c:pt>
                <c:pt idx="13">
                  <c:v>4.8839950414230851E-2</c:v>
                </c:pt>
                <c:pt idx="14">
                  <c:v>5.1468267139944318E-2</c:v>
                </c:pt>
                <c:pt idx="15">
                  <c:v>5.4450187301436768E-2</c:v>
                </c:pt>
                <c:pt idx="16">
                  <c:v>5.7974028437303135E-2</c:v>
                </c:pt>
                <c:pt idx="17">
                  <c:v>6.3341755688476734E-2</c:v>
                </c:pt>
                <c:pt idx="18">
                  <c:v>8.1372821308332718E-2</c:v>
                </c:pt>
                <c:pt idx="19">
                  <c:v>0.10727393427853384</c:v>
                </c:pt>
              </c:numCache>
            </c:numRef>
          </c:xVal>
          <c:yVal>
            <c:numRef>
              <c:f>'Run 1 (Ty)'!$G$202:$G$221</c:f>
              <c:numCache>
                <c:formatCode>General</c:formatCode>
                <c:ptCount val="20"/>
                <c:pt idx="0">
                  <c:v>0.01</c:v>
                </c:pt>
                <c:pt idx="1">
                  <c:v>9.7000000000000003E-3</c:v>
                </c:pt>
                <c:pt idx="2">
                  <c:v>1.32E-2</c:v>
                </c:pt>
                <c:pt idx="3">
                  <c:v>1.0999999999999999E-2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1.2500000000000001E-2</c:v>
                </c:pt>
                <c:pt idx="8">
                  <c:v>1.2E-2</c:v>
                </c:pt>
                <c:pt idx="9">
                  <c:v>1.2E-2</c:v>
                </c:pt>
                <c:pt idx="10">
                  <c:v>1.2E-2</c:v>
                </c:pt>
                <c:pt idx="11">
                  <c:v>1.2999999999999999E-2</c:v>
                </c:pt>
                <c:pt idx="12">
                  <c:v>1.41E-2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1.72E-2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1.7999999999999999E-2</c:v>
                </c:pt>
                <c:pt idx="1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34-403F-9553-3B74E8B1CB90}"/>
            </c:ext>
          </c:extLst>
        </c:ser>
        <c:ser>
          <c:idx val="11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(Ty)'!$I$222:$I$241</c:f>
              <c:numCache>
                <c:formatCode>General</c:formatCode>
                <c:ptCount val="20"/>
                <c:pt idx="0">
                  <c:v>5.4618860204710649E-3</c:v>
                </c:pt>
                <c:pt idx="1">
                  <c:v>5.6698481943870541E-3</c:v>
                </c:pt>
                <c:pt idx="2">
                  <c:v>6.1609640774134113E-3</c:v>
                </c:pt>
                <c:pt idx="3">
                  <c:v>6.6344675287726166E-3</c:v>
                </c:pt>
                <c:pt idx="4">
                  <c:v>7.259708852956518E-3</c:v>
                </c:pt>
                <c:pt idx="5">
                  <c:v>7.9045948124614723E-3</c:v>
                </c:pt>
                <c:pt idx="6">
                  <c:v>9.2512684337806433E-3</c:v>
                </c:pt>
                <c:pt idx="7">
                  <c:v>1.1479241039675391E-2</c:v>
                </c:pt>
                <c:pt idx="8">
                  <c:v>1.1820651253530955E-2</c:v>
                </c:pt>
                <c:pt idx="9">
                  <c:v>1.2042838853024259E-2</c:v>
                </c:pt>
                <c:pt idx="10">
                  <c:v>1.229686430976203E-2</c:v>
                </c:pt>
                <c:pt idx="11">
                  <c:v>1.3372577443894244E-2</c:v>
                </c:pt>
                <c:pt idx="12">
                  <c:v>2.7873027915704195E-2</c:v>
                </c:pt>
                <c:pt idx="13">
                  <c:v>3.3613325836759855E-2</c:v>
                </c:pt>
                <c:pt idx="14">
                  <c:v>3.4351693164344312E-2</c:v>
                </c:pt>
                <c:pt idx="15">
                  <c:v>3.5666528928419011E-2</c:v>
                </c:pt>
                <c:pt idx="16">
                  <c:v>3.7087716683714599E-2</c:v>
                </c:pt>
                <c:pt idx="17">
                  <c:v>4.0009348136807954E-2</c:v>
                </c:pt>
                <c:pt idx="18">
                  <c:v>5.406813301450316E-2</c:v>
                </c:pt>
                <c:pt idx="19">
                  <c:v>7.138183074453168E-2</c:v>
                </c:pt>
              </c:numCache>
            </c:numRef>
          </c:xVal>
          <c:yVal>
            <c:numRef>
              <c:f>'Run 1 (Ty)'!$G$222:$G$241</c:f>
              <c:numCache>
                <c:formatCode>General</c:formatCode>
                <c:ptCount val="20"/>
                <c:pt idx="0">
                  <c:v>8.9999999999999993E-3</c:v>
                </c:pt>
                <c:pt idx="1">
                  <c:v>8.9999999999999993E-3</c:v>
                </c:pt>
                <c:pt idx="2">
                  <c:v>9.1999999999999998E-3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1.0999999999999999E-2</c:v>
                </c:pt>
                <c:pt idx="7">
                  <c:v>1.2E-2</c:v>
                </c:pt>
                <c:pt idx="8">
                  <c:v>1.4E-2</c:v>
                </c:pt>
                <c:pt idx="9">
                  <c:v>1.0999999999999999E-2</c:v>
                </c:pt>
                <c:pt idx="10">
                  <c:v>0.01</c:v>
                </c:pt>
                <c:pt idx="11">
                  <c:v>1.18E-2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1.2999999999999999E-2</c:v>
                </c:pt>
                <c:pt idx="16">
                  <c:v>1.43E-2</c:v>
                </c:pt>
                <c:pt idx="17">
                  <c:v>1.4E-2</c:v>
                </c:pt>
                <c:pt idx="18">
                  <c:v>1.4999999999999999E-2</c:v>
                </c:pt>
                <c:pt idx="19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34-403F-9553-3B74E8B1C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3650514941250457"/>
              <c:y val="0.89257008100769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At val="0"/>
        <c:crossBetween val="midCat"/>
      </c:valAx>
      <c:valAx>
        <c:axId val="1231545280"/>
        <c:scaling>
          <c:logBase val="10"/>
          <c:orientation val="minMax"/>
          <c:max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4481169341024649"/>
              <c:y val="0.41476460150904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3.1047952459132597E-2"/>
          <c:y val="4.3693361224015487E-2"/>
          <c:w val="0.1451258454544449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034607233102114"/>
          <c:y val="0.12039579559597302"/>
          <c:w val="0.71376497936745364"/>
          <c:h val="0.76347189872231636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(Ty)'!$H$2:$H$21</c:f>
              <c:numCache>
                <c:formatCode>General</c:formatCode>
                <c:ptCount val="20"/>
                <c:pt idx="0">
                  <c:v>3.4358211600596864E-2</c:v>
                </c:pt>
                <c:pt idx="1">
                  <c:v>3.5800082871671059E-2</c:v>
                </c:pt>
                <c:pt idx="2">
                  <c:v>3.9804748594654535E-2</c:v>
                </c:pt>
                <c:pt idx="3">
                  <c:v>4.3989049442771842E-2</c:v>
                </c:pt>
                <c:pt idx="4">
                  <c:v>4.8144608670867728E-2</c:v>
                </c:pt>
                <c:pt idx="5">
                  <c:v>5.2340885193993957E-2</c:v>
                </c:pt>
                <c:pt idx="6">
                  <c:v>5.6403034157020263E-2</c:v>
                </c:pt>
                <c:pt idx="7">
                  <c:v>6.0374167989978751E-2</c:v>
                </c:pt>
                <c:pt idx="8">
                  <c:v>6.38614845525768E-2</c:v>
                </c:pt>
                <c:pt idx="9">
                  <c:v>6.8201469175810089E-2</c:v>
                </c:pt>
                <c:pt idx="10">
                  <c:v>7.1743873843449185E-2</c:v>
                </c:pt>
                <c:pt idx="11">
                  <c:v>7.5616807141334508E-2</c:v>
                </c:pt>
                <c:pt idx="12">
                  <c:v>8.0488511734963936E-2</c:v>
                </c:pt>
                <c:pt idx="13">
                  <c:v>8.7657150795304575E-2</c:v>
                </c:pt>
                <c:pt idx="14">
                  <c:v>9.5771868181350042E-2</c:v>
                </c:pt>
                <c:pt idx="15">
                  <c:v>0.10594640166893006</c:v>
                </c:pt>
                <c:pt idx="16">
                  <c:v>0.12267881479139572</c:v>
                </c:pt>
                <c:pt idx="17">
                  <c:v>0.14658226210920378</c:v>
                </c:pt>
                <c:pt idx="18">
                  <c:v>0.19286345574868327</c:v>
                </c:pt>
                <c:pt idx="19">
                  <c:v>0.30021101139365719</c:v>
                </c:pt>
              </c:numCache>
            </c:numRef>
          </c:xVal>
          <c:yVal>
            <c:numRef>
              <c:f>'Run 1 (Ty)'!$F$2:$F$21</c:f>
              <c:numCache>
                <c:formatCode>General</c:formatCode>
                <c:ptCount val="20"/>
                <c:pt idx="0">
                  <c:v>38.045400000000001</c:v>
                </c:pt>
                <c:pt idx="1">
                  <c:v>37.829300000000003</c:v>
                </c:pt>
                <c:pt idx="2">
                  <c:v>38.643000000000001</c:v>
                </c:pt>
                <c:pt idx="3">
                  <c:v>38.135100000000001</c:v>
                </c:pt>
                <c:pt idx="4">
                  <c:v>38.595199999999998</c:v>
                </c:pt>
                <c:pt idx="5">
                  <c:v>38.2697</c:v>
                </c:pt>
                <c:pt idx="6">
                  <c:v>38.083100000000002</c:v>
                </c:pt>
                <c:pt idx="7">
                  <c:v>39.180799999999998</c:v>
                </c:pt>
                <c:pt idx="8">
                  <c:v>38.969799999999999</c:v>
                </c:pt>
                <c:pt idx="9">
                  <c:v>39.054299999999998</c:v>
                </c:pt>
                <c:pt idx="10">
                  <c:v>39.484299999999998</c:v>
                </c:pt>
                <c:pt idx="11">
                  <c:v>39.303800000000003</c:v>
                </c:pt>
                <c:pt idx="12">
                  <c:v>39.397199999999998</c:v>
                </c:pt>
                <c:pt idx="13">
                  <c:v>39.423699999999997</c:v>
                </c:pt>
                <c:pt idx="14">
                  <c:v>40.625100000000003</c:v>
                </c:pt>
                <c:pt idx="15">
                  <c:v>41.5169</c:v>
                </c:pt>
                <c:pt idx="16">
                  <c:v>42.575000000000003</c:v>
                </c:pt>
                <c:pt idx="17">
                  <c:v>42.13</c:v>
                </c:pt>
                <c:pt idx="18">
                  <c:v>42.751399999999997</c:v>
                </c:pt>
                <c:pt idx="19">
                  <c:v>44.884399999999999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F-4D38-B308-D7E846688C8E}"/>
            </c:ext>
          </c:extLst>
        </c:ser>
        <c:ser>
          <c:idx val="2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(Ty)'!$H$22:$H$41</c:f>
              <c:numCache>
                <c:formatCode>General</c:formatCode>
                <c:ptCount val="20"/>
                <c:pt idx="0">
                  <c:v>3.6918903985734733E-2</c:v>
                </c:pt>
                <c:pt idx="1">
                  <c:v>4.0635909284978775E-2</c:v>
                </c:pt>
                <c:pt idx="2">
                  <c:v>5.1987844388075438E-2</c:v>
                </c:pt>
                <c:pt idx="3">
                  <c:v>6.2259838762337691E-2</c:v>
                </c:pt>
                <c:pt idx="4">
                  <c:v>7.2255569229223701E-2</c:v>
                </c:pt>
                <c:pt idx="5">
                  <c:v>8.142250797398097E-2</c:v>
                </c:pt>
                <c:pt idx="6">
                  <c:v>8.9559735791244932E-2</c:v>
                </c:pt>
                <c:pt idx="7">
                  <c:v>9.7295125197779844E-2</c:v>
                </c:pt>
                <c:pt idx="8">
                  <c:v>0.10359896526609237</c:v>
                </c:pt>
                <c:pt idx="9">
                  <c:v>0.11115855036793329</c:v>
                </c:pt>
                <c:pt idx="10">
                  <c:v>0.11761307984026922</c:v>
                </c:pt>
                <c:pt idx="11">
                  <c:v>0.12414295401461686</c:v>
                </c:pt>
                <c:pt idx="12">
                  <c:v>0.1326317904412688</c:v>
                </c:pt>
                <c:pt idx="13">
                  <c:v>0.14360700203430696</c:v>
                </c:pt>
                <c:pt idx="14">
                  <c:v>0.1557374990581912</c:v>
                </c:pt>
                <c:pt idx="15">
                  <c:v>0.17007810734108544</c:v>
                </c:pt>
                <c:pt idx="16">
                  <c:v>0.19230479443453799</c:v>
                </c:pt>
                <c:pt idx="17">
                  <c:v>0.22286962855061906</c:v>
                </c:pt>
                <c:pt idx="18">
                  <c:v>0.27694200969435162</c:v>
                </c:pt>
                <c:pt idx="19">
                  <c:v>0.39465554913730311</c:v>
                </c:pt>
              </c:numCache>
            </c:numRef>
          </c:xVal>
          <c:yVal>
            <c:numRef>
              <c:f>'Run 1 (Ty)'!$F$22:$F$41</c:f>
              <c:numCache>
                <c:formatCode>General</c:formatCode>
                <c:ptCount val="20"/>
                <c:pt idx="0">
                  <c:v>4.7777000000000003</c:v>
                </c:pt>
                <c:pt idx="1">
                  <c:v>4.7691999999999997</c:v>
                </c:pt>
                <c:pt idx="2">
                  <c:v>4.8456999999999999</c:v>
                </c:pt>
                <c:pt idx="3">
                  <c:v>5.1936999999999998</c:v>
                </c:pt>
                <c:pt idx="4">
                  <c:v>4.9095000000000004</c:v>
                </c:pt>
                <c:pt idx="5">
                  <c:v>4.7793000000000001</c:v>
                </c:pt>
                <c:pt idx="6">
                  <c:v>4.8198999999999996</c:v>
                </c:pt>
                <c:pt idx="7">
                  <c:v>4.8747999999999996</c:v>
                </c:pt>
                <c:pt idx="8">
                  <c:v>4.8992000000000004</c:v>
                </c:pt>
                <c:pt idx="9">
                  <c:v>5.0548999999999999</c:v>
                </c:pt>
                <c:pt idx="10">
                  <c:v>4.9145000000000003</c:v>
                </c:pt>
                <c:pt idx="11">
                  <c:v>5.0035999999999996</c:v>
                </c:pt>
                <c:pt idx="12">
                  <c:v>4.8810000000000002</c:v>
                </c:pt>
                <c:pt idx="13">
                  <c:v>4.9253</c:v>
                </c:pt>
                <c:pt idx="14">
                  <c:v>4.9103000000000003</c:v>
                </c:pt>
                <c:pt idx="15">
                  <c:v>5.0631000000000004</c:v>
                </c:pt>
                <c:pt idx="16">
                  <c:v>5.2343000000000002</c:v>
                </c:pt>
                <c:pt idx="17">
                  <c:v>5.0429000000000004</c:v>
                </c:pt>
                <c:pt idx="18">
                  <c:v>5.3623000000000003</c:v>
                </c:pt>
                <c:pt idx="19">
                  <c:v>5.36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3F-4D38-B308-D7E846688C8E}"/>
            </c:ext>
          </c:extLst>
        </c:ser>
        <c:ser>
          <c:idx val="3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(Ty)'!$H$42:$H$61</c:f>
              <c:numCache>
                <c:formatCode>General</c:formatCode>
                <c:ptCount val="20"/>
                <c:pt idx="0">
                  <c:v>0.26631116687578416</c:v>
                </c:pt>
                <c:pt idx="1">
                  <c:v>0.30426599749058975</c:v>
                </c:pt>
                <c:pt idx="2">
                  <c:v>0.37526139690506066</c:v>
                </c:pt>
                <c:pt idx="3">
                  <c:v>0.44322459222082811</c:v>
                </c:pt>
                <c:pt idx="4">
                  <c:v>0.51129234629861986</c:v>
                </c:pt>
                <c:pt idx="5">
                  <c:v>0.57026348808030114</c:v>
                </c:pt>
                <c:pt idx="6">
                  <c:v>0.61564199079882898</c:v>
                </c:pt>
                <c:pt idx="7">
                  <c:v>0.68527812630698459</c:v>
                </c:pt>
                <c:pt idx="8">
                  <c:v>0.73222501045587618</c:v>
                </c:pt>
                <c:pt idx="9">
                  <c:v>0.76840234211626923</c:v>
                </c:pt>
                <c:pt idx="10">
                  <c:v>0.79130071099958188</c:v>
                </c:pt>
                <c:pt idx="11">
                  <c:v>0.81838143036386446</c:v>
                </c:pt>
                <c:pt idx="12">
                  <c:v>0.91802593057298199</c:v>
                </c:pt>
                <c:pt idx="13">
                  <c:v>0.99592220828105393</c:v>
                </c:pt>
                <c:pt idx="14">
                  <c:v>1.0347135089920534</c:v>
                </c:pt>
                <c:pt idx="15">
                  <c:v>1.0823923044751149</c:v>
                </c:pt>
                <c:pt idx="16">
                  <c:v>1.165934755332497</c:v>
                </c:pt>
                <c:pt idx="17">
                  <c:v>1.2523002927645337</c:v>
                </c:pt>
                <c:pt idx="18">
                  <c:v>1.5096194061062316</c:v>
                </c:pt>
                <c:pt idx="19">
                  <c:v>1.9947720618987872</c:v>
                </c:pt>
              </c:numCache>
            </c:numRef>
          </c:xVal>
          <c:yVal>
            <c:numRef>
              <c:f>'Run 1 (Ty)'!$F$42:$F$61</c:f>
              <c:numCache>
                <c:formatCode>General</c:formatCode>
                <c:ptCount val="20"/>
                <c:pt idx="0">
                  <c:v>9.9914000000000005</c:v>
                </c:pt>
                <c:pt idx="1">
                  <c:v>9.8435000000000006</c:v>
                </c:pt>
                <c:pt idx="2">
                  <c:v>9.2530000000000001</c:v>
                </c:pt>
                <c:pt idx="3">
                  <c:v>9.3294999999999995</c:v>
                </c:pt>
                <c:pt idx="4">
                  <c:v>9.1229999999999993</c:v>
                </c:pt>
                <c:pt idx="5">
                  <c:v>9.3428000000000004</c:v>
                </c:pt>
                <c:pt idx="6">
                  <c:v>9.0734999999999992</c:v>
                </c:pt>
                <c:pt idx="7">
                  <c:v>9.6976999999999993</c:v>
                </c:pt>
                <c:pt idx="8">
                  <c:v>9.2306000000000008</c:v>
                </c:pt>
                <c:pt idx="9">
                  <c:v>9.5361999999999991</c:v>
                </c:pt>
                <c:pt idx="10">
                  <c:v>9.4710000000000001</c:v>
                </c:pt>
                <c:pt idx="11">
                  <c:v>9.5556999999999999</c:v>
                </c:pt>
                <c:pt idx="12">
                  <c:v>9.6005000000000003</c:v>
                </c:pt>
                <c:pt idx="13">
                  <c:v>9.6455000000000002</c:v>
                </c:pt>
                <c:pt idx="14">
                  <c:v>9.7981999999999996</c:v>
                </c:pt>
                <c:pt idx="15">
                  <c:v>9.6471</c:v>
                </c:pt>
                <c:pt idx="16">
                  <c:v>9.6264000000000003</c:v>
                </c:pt>
                <c:pt idx="17">
                  <c:v>9.7578999999999994</c:v>
                </c:pt>
                <c:pt idx="18">
                  <c:v>9.6010000000000009</c:v>
                </c:pt>
                <c:pt idx="19">
                  <c:v>9.6563999999999997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3F-4D38-B308-D7E846688C8E}"/>
            </c:ext>
          </c:extLst>
        </c:ser>
        <c:ser>
          <c:idx val="4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(Ty)'!$H$62:$H$81</c:f>
              <c:numCache>
                <c:formatCode>General</c:formatCode>
                <c:ptCount val="20"/>
                <c:pt idx="0">
                  <c:v>1.9797256304080201E-2</c:v>
                </c:pt>
                <c:pt idx="1">
                  <c:v>2.3113488169357547E-2</c:v>
                </c:pt>
                <c:pt idx="2">
                  <c:v>2.9963892537594759E-2</c:v>
                </c:pt>
                <c:pt idx="3">
                  <c:v>3.643731850551625E-2</c:v>
                </c:pt>
                <c:pt idx="4">
                  <c:v>4.3458541211396529E-2</c:v>
                </c:pt>
                <c:pt idx="5">
                  <c:v>5.0568118229850793E-2</c:v>
                </c:pt>
                <c:pt idx="6">
                  <c:v>5.747742547313734E-2</c:v>
                </c:pt>
                <c:pt idx="7">
                  <c:v>6.4433855016463357E-2</c:v>
                </c:pt>
                <c:pt idx="8">
                  <c:v>7.0388935683950729E-2</c:v>
                </c:pt>
                <c:pt idx="9">
                  <c:v>7.7451390402365539E-2</c:v>
                </c:pt>
                <c:pt idx="10">
                  <c:v>8.3700985445099574E-2</c:v>
                </c:pt>
                <c:pt idx="11">
                  <c:v>9.0303997738129596E-2</c:v>
                </c:pt>
                <c:pt idx="12">
                  <c:v>9.8998062095410871E-2</c:v>
                </c:pt>
                <c:pt idx="13">
                  <c:v>0.11021316950480353</c:v>
                </c:pt>
                <c:pt idx="14">
                  <c:v>0.12469149619192912</c:v>
                </c:pt>
                <c:pt idx="15">
                  <c:v>0.14202072203144236</c:v>
                </c:pt>
                <c:pt idx="16">
                  <c:v>0.16999369739236972</c:v>
                </c:pt>
                <c:pt idx="17">
                  <c:v>0.21035983766367636</c:v>
                </c:pt>
                <c:pt idx="18">
                  <c:v>0.2809843848478244</c:v>
                </c:pt>
                <c:pt idx="19">
                  <c:v>0.42485465715581577</c:v>
                </c:pt>
              </c:numCache>
            </c:numRef>
          </c:xVal>
          <c:yVal>
            <c:numRef>
              <c:f>'Run 1 (Ty)'!$F$62:$F$81</c:f>
              <c:numCache>
                <c:formatCode>General</c:formatCode>
                <c:ptCount val="20"/>
                <c:pt idx="0">
                  <c:v>9.4937000000000005</c:v>
                </c:pt>
                <c:pt idx="1">
                  <c:v>9.4162999999999997</c:v>
                </c:pt>
                <c:pt idx="2">
                  <c:v>9.4890000000000008</c:v>
                </c:pt>
                <c:pt idx="3">
                  <c:v>9.3581000000000003</c:v>
                </c:pt>
                <c:pt idx="4">
                  <c:v>9.5687999999999995</c:v>
                </c:pt>
                <c:pt idx="5">
                  <c:v>9.8368000000000002</c:v>
                </c:pt>
                <c:pt idx="6">
                  <c:v>9.8299000000000003</c:v>
                </c:pt>
                <c:pt idx="7">
                  <c:v>9.8945000000000007</c:v>
                </c:pt>
                <c:pt idx="8">
                  <c:v>10.0358</c:v>
                </c:pt>
                <c:pt idx="9">
                  <c:v>9.8363999999999994</c:v>
                </c:pt>
                <c:pt idx="10">
                  <c:v>9.8721999999999994</c:v>
                </c:pt>
                <c:pt idx="11">
                  <c:v>9.9332999999999991</c:v>
                </c:pt>
                <c:pt idx="12">
                  <c:v>10.619300000000001</c:v>
                </c:pt>
                <c:pt idx="13">
                  <c:v>10.068300000000001</c:v>
                </c:pt>
                <c:pt idx="14">
                  <c:v>10.2774</c:v>
                </c:pt>
                <c:pt idx="15">
                  <c:v>10.2773</c:v>
                </c:pt>
                <c:pt idx="16">
                  <c:v>10.418799999999999</c:v>
                </c:pt>
                <c:pt idx="17">
                  <c:v>11.2172</c:v>
                </c:pt>
                <c:pt idx="18">
                  <c:v>11.6632</c:v>
                </c:pt>
                <c:pt idx="19">
                  <c:v>12.664300000000001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3F-4D38-B308-D7E846688C8E}"/>
            </c:ext>
          </c:extLst>
        </c:ser>
        <c:ser>
          <c:idx val="5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(Ty)'!$H$82:$H$101</c:f>
              <c:numCache>
                <c:formatCode>General</c:formatCode>
                <c:ptCount val="20"/>
                <c:pt idx="0">
                  <c:v>2.9550697572228935E-2</c:v>
                </c:pt>
                <c:pt idx="1">
                  <c:v>3.5263100076897723E-2</c:v>
                </c:pt>
                <c:pt idx="2">
                  <c:v>4.7017466769196964E-2</c:v>
                </c:pt>
                <c:pt idx="3">
                  <c:v>5.7516360383547023E-2</c:v>
                </c:pt>
                <c:pt idx="4">
                  <c:v>6.7016106673362524E-2</c:v>
                </c:pt>
                <c:pt idx="5">
                  <c:v>7.5663177497737516E-2</c:v>
                </c:pt>
                <c:pt idx="6">
                  <c:v>8.3614506991415705E-2</c:v>
                </c:pt>
                <c:pt idx="7">
                  <c:v>9.1377515523401495E-2</c:v>
                </c:pt>
                <c:pt idx="8">
                  <c:v>9.766534318879698E-2</c:v>
                </c:pt>
                <c:pt idx="9">
                  <c:v>0.10488954452482958</c:v>
                </c:pt>
                <c:pt idx="10">
                  <c:v>0.11085304164508822</c:v>
                </c:pt>
                <c:pt idx="11">
                  <c:v>0.11706240224311189</c:v>
                </c:pt>
                <c:pt idx="12">
                  <c:v>0.12494049580724303</c:v>
                </c:pt>
                <c:pt idx="13">
                  <c:v>0.13487442653651593</c:v>
                </c:pt>
                <c:pt idx="14">
                  <c:v>0.14660263753969124</c:v>
                </c:pt>
                <c:pt idx="15">
                  <c:v>0.16007281743852103</c:v>
                </c:pt>
                <c:pt idx="16">
                  <c:v>0.18134785497193495</c:v>
                </c:pt>
                <c:pt idx="17">
                  <c:v>0.21037020762386024</c:v>
                </c:pt>
                <c:pt idx="18">
                  <c:v>0.26240433556702919</c:v>
                </c:pt>
                <c:pt idx="19">
                  <c:v>0.37368109937592525</c:v>
                </c:pt>
              </c:numCache>
            </c:numRef>
          </c:xVal>
          <c:yVal>
            <c:numRef>
              <c:f>'Run 1 (Ty)'!$F$82:$F$101</c:f>
              <c:numCache>
                <c:formatCode>General</c:formatCode>
                <c:ptCount val="20"/>
                <c:pt idx="0">
                  <c:v>18.303899999999999</c:v>
                </c:pt>
                <c:pt idx="1">
                  <c:v>18.434200000000001</c:v>
                </c:pt>
                <c:pt idx="2">
                  <c:v>18.118099999999998</c:v>
                </c:pt>
                <c:pt idx="3">
                  <c:v>18.415800000000001</c:v>
                </c:pt>
                <c:pt idx="4">
                  <c:v>18.487200000000001</c:v>
                </c:pt>
                <c:pt idx="5">
                  <c:v>21.1069</c:v>
                </c:pt>
                <c:pt idx="6">
                  <c:v>22.244599999999998</c:v>
                </c:pt>
                <c:pt idx="7">
                  <c:v>22.038399999999999</c:v>
                </c:pt>
                <c:pt idx="8">
                  <c:v>22.25</c:v>
                </c:pt>
                <c:pt idx="9">
                  <c:v>22.295500000000001</c:v>
                </c:pt>
                <c:pt idx="10">
                  <c:v>22.101700000000001</c:v>
                </c:pt>
                <c:pt idx="11">
                  <c:v>23.639800000000001</c:v>
                </c:pt>
                <c:pt idx="12">
                  <c:v>22.977799999999998</c:v>
                </c:pt>
                <c:pt idx="13">
                  <c:v>23.3065</c:v>
                </c:pt>
                <c:pt idx="14">
                  <c:v>23.4937</c:v>
                </c:pt>
                <c:pt idx="15">
                  <c:v>24.128399999999999</c:v>
                </c:pt>
                <c:pt idx="16">
                  <c:v>23.767900000000001</c:v>
                </c:pt>
                <c:pt idx="17">
                  <c:v>24.241099999999999</c:v>
                </c:pt>
                <c:pt idx="18">
                  <c:v>24.463799999999999</c:v>
                </c:pt>
                <c:pt idx="19">
                  <c:v>24.611000000000001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3F-4D38-B308-D7E846688C8E}"/>
            </c:ext>
          </c:extLst>
        </c:ser>
        <c:ser>
          <c:idx val="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(Ty)'!$H$102:$H$121</c:f>
              <c:numCache>
                <c:formatCode>General</c:formatCode>
                <c:ptCount val="20"/>
                <c:pt idx="0">
                  <c:v>0.21991327363856505</c:v>
                </c:pt>
                <c:pt idx="1">
                  <c:v>0.24984513149743764</c:v>
                </c:pt>
                <c:pt idx="2">
                  <c:v>0.31176437461282874</c:v>
                </c:pt>
                <c:pt idx="3">
                  <c:v>0.36951624711381426</c:v>
                </c:pt>
                <c:pt idx="4">
                  <c:v>0.4271554879765726</c:v>
                </c:pt>
                <c:pt idx="5">
                  <c:v>0.48724446697077206</c:v>
                </c:pt>
                <c:pt idx="6">
                  <c:v>0.52908712057216878</c:v>
                </c:pt>
                <c:pt idx="7">
                  <c:v>0.57619530326068591</c:v>
                </c:pt>
                <c:pt idx="8">
                  <c:v>0.61006926845750975</c:v>
                </c:pt>
                <c:pt idx="9">
                  <c:v>0.65323534380807569</c:v>
                </c:pt>
                <c:pt idx="10">
                  <c:v>0.68429351804922012</c:v>
                </c:pt>
                <c:pt idx="11">
                  <c:v>0.72140564284507513</c:v>
                </c:pt>
                <c:pt idx="12">
                  <c:v>0.77459593399785998</c:v>
                </c:pt>
                <c:pt idx="13">
                  <c:v>0.84580728726699328</c:v>
                </c:pt>
                <c:pt idx="14">
                  <c:v>0.89615362955454192</c:v>
                </c:pt>
                <c:pt idx="15">
                  <c:v>0.96440840232021174</c:v>
                </c:pt>
                <c:pt idx="16">
                  <c:v>1.075491355521766</c:v>
                </c:pt>
                <c:pt idx="17">
                  <c:v>1.1818156220082221</c:v>
                </c:pt>
                <c:pt idx="18">
                  <c:v>1.3660246663287718</c:v>
                </c:pt>
                <c:pt idx="19">
                  <c:v>1.8014022638959284</c:v>
                </c:pt>
              </c:numCache>
            </c:numRef>
          </c:xVal>
          <c:yVal>
            <c:numRef>
              <c:f>'Run 1 (Ty)'!$F$102:$F$121</c:f>
              <c:numCache>
                <c:formatCode>General</c:formatCode>
                <c:ptCount val="20"/>
                <c:pt idx="0">
                  <c:v>22.854500000000002</c:v>
                </c:pt>
                <c:pt idx="1">
                  <c:v>23.228400000000001</c:v>
                </c:pt>
                <c:pt idx="2">
                  <c:v>22.927499999999998</c:v>
                </c:pt>
                <c:pt idx="3">
                  <c:v>22.987500000000001</c:v>
                </c:pt>
                <c:pt idx="4">
                  <c:v>23.023299999999999</c:v>
                </c:pt>
                <c:pt idx="5">
                  <c:v>23.0581</c:v>
                </c:pt>
                <c:pt idx="6">
                  <c:v>23.392299999999999</c:v>
                </c:pt>
                <c:pt idx="7">
                  <c:v>22.932099999999998</c:v>
                </c:pt>
                <c:pt idx="8">
                  <c:v>23.1325</c:v>
                </c:pt>
                <c:pt idx="9">
                  <c:v>23.067</c:v>
                </c:pt>
                <c:pt idx="10">
                  <c:v>23.1462</c:v>
                </c:pt>
                <c:pt idx="11">
                  <c:v>24.938700000000001</c:v>
                </c:pt>
                <c:pt idx="12">
                  <c:v>23.857099999999999</c:v>
                </c:pt>
                <c:pt idx="13">
                  <c:v>23.194299999999998</c:v>
                </c:pt>
                <c:pt idx="14">
                  <c:v>24.2986</c:v>
                </c:pt>
                <c:pt idx="15">
                  <c:v>24.7912</c:v>
                </c:pt>
                <c:pt idx="16">
                  <c:v>24.6646</c:v>
                </c:pt>
                <c:pt idx="17">
                  <c:v>23.6416</c:v>
                </c:pt>
                <c:pt idx="18">
                  <c:v>24.997</c:v>
                </c:pt>
                <c:pt idx="19">
                  <c:v>25.723299999999998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3F-4D38-B308-D7E846688C8E}"/>
            </c:ext>
          </c:extLst>
        </c:ser>
        <c:ser>
          <c:idx val="6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(Ty)'!$H$122:$H$141</c:f>
              <c:numCache>
                <c:formatCode>General</c:formatCode>
                <c:ptCount val="20"/>
                <c:pt idx="0">
                  <c:v>9.4763221569305209E-2</c:v>
                </c:pt>
                <c:pt idx="1">
                  <c:v>0.10565157276183892</c:v>
                </c:pt>
                <c:pt idx="2">
                  <c:v>0.12706533010715518</c:v>
                </c:pt>
                <c:pt idx="3">
                  <c:v>0.14643968199101279</c:v>
                </c:pt>
                <c:pt idx="4">
                  <c:v>0.16356723124783962</c:v>
                </c:pt>
                <c:pt idx="5">
                  <c:v>0.18069478050466642</c:v>
                </c:pt>
                <c:pt idx="6">
                  <c:v>0.19657794676806081</c:v>
                </c:pt>
                <c:pt idx="7">
                  <c:v>0.21183892153473902</c:v>
                </c:pt>
                <c:pt idx="8">
                  <c:v>0.22533702039405459</c:v>
                </c:pt>
                <c:pt idx="9">
                  <c:v>0.24137573453162806</c:v>
                </c:pt>
                <c:pt idx="10">
                  <c:v>0.2546491531282406</c:v>
                </c:pt>
                <c:pt idx="11">
                  <c:v>0.26866574490148631</c:v>
                </c:pt>
                <c:pt idx="12">
                  <c:v>0.28662288282060144</c:v>
                </c:pt>
                <c:pt idx="13">
                  <c:v>0.31277220877981332</c:v>
                </c:pt>
                <c:pt idx="14">
                  <c:v>0.34260283442792944</c:v>
                </c:pt>
                <c:pt idx="15">
                  <c:v>0.37882820601451778</c:v>
                </c:pt>
                <c:pt idx="16">
                  <c:v>0.4402868994123747</c:v>
                </c:pt>
                <c:pt idx="17">
                  <c:v>0.53326996197718635</c:v>
                </c:pt>
                <c:pt idx="18">
                  <c:v>0.72571724853093666</c:v>
                </c:pt>
                <c:pt idx="19">
                  <c:v>1.2004320774282753</c:v>
                </c:pt>
              </c:numCache>
            </c:numRef>
          </c:xVal>
          <c:yVal>
            <c:numRef>
              <c:f>'Run 1 (Ty)'!$F$122:$F$141</c:f>
              <c:numCache>
                <c:formatCode>General</c:formatCode>
                <c:ptCount val="20"/>
                <c:pt idx="0">
                  <c:v>22.936499999999999</c:v>
                </c:pt>
                <c:pt idx="1">
                  <c:v>22.6068</c:v>
                </c:pt>
                <c:pt idx="2">
                  <c:v>22.84</c:v>
                </c:pt>
                <c:pt idx="3">
                  <c:v>22.5154</c:v>
                </c:pt>
                <c:pt idx="4">
                  <c:v>22.4665</c:v>
                </c:pt>
                <c:pt idx="5">
                  <c:v>22.628499999999999</c:v>
                </c:pt>
                <c:pt idx="6">
                  <c:v>23.150099999999998</c:v>
                </c:pt>
                <c:pt idx="7">
                  <c:v>21.8583</c:v>
                </c:pt>
                <c:pt idx="8">
                  <c:v>21.7925</c:v>
                </c:pt>
                <c:pt idx="9">
                  <c:v>21.659099999999999</c:v>
                </c:pt>
                <c:pt idx="10">
                  <c:v>22.2987</c:v>
                </c:pt>
                <c:pt idx="11">
                  <c:v>22.059200000000001</c:v>
                </c:pt>
                <c:pt idx="12">
                  <c:v>22.333300000000001</c:v>
                </c:pt>
                <c:pt idx="13">
                  <c:v>22.9114</c:v>
                </c:pt>
                <c:pt idx="14">
                  <c:v>23.6127</c:v>
                </c:pt>
                <c:pt idx="15">
                  <c:v>22.992100000000001</c:v>
                </c:pt>
                <c:pt idx="16">
                  <c:v>22.8522</c:v>
                </c:pt>
                <c:pt idx="17">
                  <c:v>23.391100000000002</c:v>
                </c:pt>
                <c:pt idx="18">
                  <c:v>23.257000000000001</c:v>
                </c:pt>
                <c:pt idx="19">
                  <c:v>24.312799999999999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3F-4D38-B308-D7E846688C8E}"/>
            </c:ext>
          </c:extLst>
        </c:ser>
        <c:ser>
          <c:idx val="7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(Ty)'!$H$142:$H$161</c:f>
              <c:numCache>
                <c:formatCode>General</c:formatCode>
                <c:ptCount val="20"/>
                <c:pt idx="0">
                  <c:v>3.556072611861081E-2</c:v>
                </c:pt>
                <c:pt idx="1">
                  <c:v>4.2144258709241607E-2</c:v>
                </c:pt>
                <c:pt idx="2">
                  <c:v>5.608869540975521E-2</c:v>
                </c:pt>
                <c:pt idx="3">
                  <c:v>6.8494472620438979E-2</c:v>
                </c:pt>
                <c:pt idx="4">
                  <c:v>7.9254366683465041E-2</c:v>
                </c:pt>
                <c:pt idx="5">
                  <c:v>8.9638977944093576E-2</c:v>
                </c:pt>
                <c:pt idx="6">
                  <c:v>9.9508915647148394E-2</c:v>
                </c:pt>
                <c:pt idx="7">
                  <c:v>0.10894995871889174</c:v>
                </c:pt>
                <c:pt idx="8">
                  <c:v>0.11631086282877454</c:v>
                </c:pt>
                <c:pt idx="9">
                  <c:v>0.12440088781188681</c:v>
                </c:pt>
                <c:pt idx="10">
                  <c:v>0.13134361965624095</c:v>
                </c:pt>
                <c:pt idx="11">
                  <c:v>0.13862410602275285</c:v>
                </c:pt>
                <c:pt idx="12">
                  <c:v>0.14765769919475033</c:v>
                </c:pt>
                <c:pt idx="13">
                  <c:v>0.15911990821654889</c:v>
                </c:pt>
                <c:pt idx="14">
                  <c:v>0.17209397081372035</c:v>
                </c:pt>
                <c:pt idx="15">
                  <c:v>0.18726611839636298</c:v>
                </c:pt>
                <c:pt idx="16">
                  <c:v>0.21042106730429003</c:v>
                </c:pt>
                <c:pt idx="17">
                  <c:v>0.24282405669987026</c:v>
                </c:pt>
                <c:pt idx="18">
                  <c:v>0.30442940930486906</c:v>
                </c:pt>
                <c:pt idx="19">
                  <c:v>0.43606789402013663</c:v>
                </c:pt>
              </c:numCache>
            </c:numRef>
          </c:xVal>
          <c:yVal>
            <c:numRef>
              <c:f>'Run 1 (Ty)'!$F$142:$F$161</c:f>
              <c:numCache>
                <c:formatCode>General</c:formatCode>
                <c:ptCount val="20"/>
                <c:pt idx="0">
                  <c:v>21.663699999999999</c:v>
                </c:pt>
                <c:pt idx="1">
                  <c:v>21.7073</c:v>
                </c:pt>
                <c:pt idx="2">
                  <c:v>21.964400000000001</c:v>
                </c:pt>
                <c:pt idx="3">
                  <c:v>22.267199999999999</c:v>
                </c:pt>
                <c:pt idx="4">
                  <c:v>22.766400000000001</c:v>
                </c:pt>
                <c:pt idx="5">
                  <c:v>22.2379</c:v>
                </c:pt>
                <c:pt idx="6">
                  <c:v>22.867599999999999</c:v>
                </c:pt>
                <c:pt idx="7">
                  <c:v>22.572900000000001</c:v>
                </c:pt>
                <c:pt idx="8">
                  <c:v>22.683299999999999</c:v>
                </c:pt>
                <c:pt idx="9">
                  <c:v>22.8749</c:v>
                </c:pt>
                <c:pt idx="10">
                  <c:v>22.591100000000001</c:v>
                </c:pt>
                <c:pt idx="11">
                  <c:v>24.452300000000001</c:v>
                </c:pt>
                <c:pt idx="12">
                  <c:v>23.23</c:v>
                </c:pt>
                <c:pt idx="13">
                  <c:v>23.218900000000001</c:v>
                </c:pt>
                <c:pt idx="14">
                  <c:v>24.0716</c:v>
                </c:pt>
                <c:pt idx="15">
                  <c:v>24.047599999999999</c:v>
                </c:pt>
                <c:pt idx="16">
                  <c:v>23.469200000000001</c:v>
                </c:pt>
                <c:pt idx="17">
                  <c:v>23.750399999999999</c:v>
                </c:pt>
                <c:pt idx="18">
                  <c:v>23.8188</c:v>
                </c:pt>
                <c:pt idx="19">
                  <c:v>24.769400000000001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3F-4D38-B308-D7E846688C8E}"/>
            </c:ext>
          </c:extLst>
        </c:ser>
        <c:ser>
          <c:idx val="8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(Ty)'!$H$162:$H$181</c:f>
              <c:numCache>
                <c:formatCode>General</c:formatCode>
                <c:ptCount val="20"/>
                <c:pt idx="0">
                  <c:v>3.1215802912539631E-2</c:v>
                </c:pt>
                <c:pt idx="1">
                  <c:v>3.7767614130587275E-2</c:v>
                </c:pt>
                <c:pt idx="2">
                  <c:v>5.0459702385962944E-2</c:v>
                </c:pt>
                <c:pt idx="3">
                  <c:v>6.173480363272444E-2</c:v>
                </c:pt>
                <c:pt idx="4">
                  <c:v>7.2121365171114032E-2</c:v>
                </c:pt>
                <c:pt idx="5">
                  <c:v>8.182515409149152E-2</c:v>
                </c:pt>
                <c:pt idx="6">
                  <c:v>9.1023878335531286E-2</c:v>
                </c:pt>
                <c:pt idx="7">
                  <c:v>9.9731567477576055E-2</c:v>
                </c:pt>
                <c:pt idx="8">
                  <c:v>0.10694744521451219</c:v>
                </c:pt>
                <c:pt idx="9">
                  <c:v>0.11497236173854485</c:v>
                </c:pt>
                <c:pt idx="10">
                  <c:v>0.12224903429763274</c:v>
                </c:pt>
                <c:pt idx="11">
                  <c:v>0.12976888614532767</c:v>
                </c:pt>
                <c:pt idx="12">
                  <c:v>0.1391172591823564</c:v>
                </c:pt>
                <c:pt idx="13">
                  <c:v>0.15094419035326467</c:v>
                </c:pt>
                <c:pt idx="14">
                  <c:v>0.16452949484179316</c:v>
                </c:pt>
                <c:pt idx="15">
                  <c:v>0.18043435562165042</c:v>
                </c:pt>
                <c:pt idx="16">
                  <c:v>0.20543973362514847</c:v>
                </c:pt>
                <c:pt idx="17">
                  <c:v>0.23963448282312444</c:v>
                </c:pt>
                <c:pt idx="18">
                  <c:v>0.30076601475911219</c:v>
                </c:pt>
                <c:pt idx="19">
                  <c:v>0.43211556628038567</c:v>
                </c:pt>
              </c:numCache>
            </c:numRef>
          </c:xVal>
          <c:yVal>
            <c:numRef>
              <c:f>'Run 1 (Ty)'!$F$162:$F$181</c:f>
              <c:numCache>
                <c:formatCode>General</c:formatCode>
                <c:ptCount val="20"/>
                <c:pt idx="0">
                  <c:v>23.299900000000001</c:v>
                </c:pt>
                <c:pt idx="1">
                  <c:v>22.921500000000002</c:v>
                </c:pt>
                <c:pt idx="2">
                  <c:v>22.216799999999999</c:v>
                </c:pt>
                <c:pt idx="3">
                  <c:v>23.722799999999999</c:v>
                </c:pt>
                <c:pt idx="4">
                  <c:v>24.952500000000001</c:v>
                </c:pt>
                <c:pt idx="5">
                  <c:v>25.043700000000001</c:v>
                </c:pt>
                <c:pt idx="6">
                  <c:v>24.6645</c:v>
                </c:pt>
                <c:pt idx="7">
                  <c:v>24.1084</c:v>
                </c:pt>
                <c:pt idx="8">
                  <c:v>24.549600000000002</c:v>
                </c:pt>
                <c:pt idx="9">
                  <c:v>24.206299999999999</c:v>
                </c:pt>
                <c:pt idx="10">
                  <c:v>24.867000000000001</c:v>
                </c:pt>
                <c:pt idx="11">
                  <c:v>24.047699999999999</c:v>
                </c:pt>
                <c:pt idx="12">
                  <c:v>23.488299999999999</c:v>
                </c:pt>
                <c:pt idx="13">
                  <c:v>24.408200000000001</c:v>
                </c:pt>
                <c:pt idx="14">
                  <c:v>24.974799999999998</c:v>
                </c:pt>
                <c:pt idx="15">
                  <c:v>24.35</c:v>
                </c:pt>
                <c:pt idx="16">
                  <c:v>25.021599999999999</c:v>
                </c:pt>
                <c:pt idx="17">
                  <c:v>25.122800000000002</c:v>
                </c:pt>
                <c:pt idx="18">
                  <c:v>26.0654</c:v>
                </c:pt>
                <c:pt idx="19">
                  <c:v>26.0672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3F-4D38-B308-D7E846688C8E}"/>
            </c:ext>
          </c:extLst>
        </c:ser>
        <c:ser>
          <c:idx val="9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(Ty)'!$H$182:$H$201</c:f>
              <c:numCache>
                <c:formatCode>General</c:formatCode>
                <c:ptCount val="20"/>
                <c:pt idx="0">
                  <c:v>0.55493230174081243</c:v>
                </c:pt>
                <c:pt idx="1">
                  <c:v>0.60386847195357829</c:v>
                </c:pt>
                <c:pt idx="2">
                  <c:v>0.69032882011605412</c:v>
                </c:pt>
                <c:pt idx="3">
                  <c:v>0.7688588007736944</c:v>
                </c:pt>
                <c:pt idx="4">
                  <c:v>0.82901353965183744</c:v>
                </c:pt>
                <c:pt idx="5">
                  <c:v>0.89032882011605419</c:v>
                </c:pt>
                <c:pt idx="6">
                  <c:v>0.94410058027079302</c:v>
                </c:pt>
                <c:pt idx="7">
                  <c:v>0.98646034816247574</c:v>
                </c:pt>
                <c:pt idx="8">
                  <c:v>1.0286266924564795</c:v>
                </c:pt>
                <c:pt idx="9">
                  <c:v>1.0673114119922631</c:v>
                </c:pt>
                <c:pt idx="10">
                  <c:v>1.1003868471953577</c:v>
                </c:pt>
                <c:pt idx="11">
                  <c:v>1.1433268858800774</c:v>
                </c:pt>
                <c:pt idx="12">
                  <c:v>1.1930367504835588</c:v>
                </c:pt>
                <c:pt idx="13">
                  <c:v>1.2535783365570599</c:v>
                </c:pt>
                <c:pt idx="14">
                  <c:v>1.3272727272727274</c:v>
                </c:pt>
                <c:pt idx="15">
                  <c:v>1.409284332688588</c:v>
                </c:pt>
                <c:pt idx="16">
                  <c:v>1.507350096711799</c:v>
                </c:pt>
                <c:pt idx="17">
                  <c:v>1.6361702127659574</c:v>
                </c:pt>
                <c:pt idx="18">
                  <c:v>1.9050290135396517</c:v>
                </c:pt>
                <c:pt idx="19">
                  <c:v>2.4367504835589942</c:v>
                </c:pt>
              </c:numCache>
            </c:numRef>
          </c:xVal>
          <c:yVal>
            <c:numRef>
              <c:f>'Run 1 (Ty)'!$F$182:$F$201</c:f>
              <c:numCache>
                <c:formatCode>General</c:formatCode>
                <c:ptCount val="20"/>
                <c:pt idx="0">
                  <c:v>11.4353</c:v>
                </c:pt>
                <c:pt idx="1">
                  <c:v>11.1005</c:v>
                </c:pt>
                <c:pt idx="2">
                  <c:v>11.2506</c:v>
                </c:pt>
                <c:pt idx="3">
                  <c:v>11.391999999999999</c:v>
                </c:pt>
                <c:pt idx="4">
                  <c:v>12.261200000000001</c:v>
                </c:pt>
                <c:pt idx="5">
                  <c:v>11.930899999999999</c:v>
                </c:pt>
                <c:pt idx="6">
                  <c:v>11.8218</c:v>
                </c:pt>
                <c:pt idx="7">
                  <c:v>11.7996</c:v>
                </c:pt>
                <c:pt idx="8">
                  <c:v>12.575200000000001</c:v>
                </c:pt>
                <c:pt idx="9">
                  <c:v>11.7149</c:v>
                </c:pt>
                <c:pt idx="10">
                  <c:v>11.1029</c:v>
                </c:pt>
                <c:pt idx="11">
                  <c:v>11.2652</c:v>
                </c:pt>
                <c:pt idx="12">
                  <c:v>11.2135</c:v>
                </c:pt>
                <c:pt idx="13">
                  <c:v>11.5345</c:v>
                </c:pt>
                <c:pt idx="14">
                  <c:v>11.957100000000001</c:v>
                </c:pt>
                <c:pt idx="15">
                  <c:v>11.7834</c:v>
                </c:pt>
                <c:pt idx="16">
                  <c:v>11.681900000000001</c:v>
                </c:pt>
                <c:pt idx="17">
                  <c:v>11.8856</c:v>
                </c:pt>
                <c:pt idx="18">
                  <c:v>12.0947</c:v>
                </c:pt>
                <c:pt idx="19">
                  <c:v>11.803900000000001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3F-4D38-B308-D7E846688C8E}"/>
            </c:ext>
          </c:extLst>
        </c:ser>
        <c:ser>
          <c:idx val="10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(Ty)'!$H$202:$H$221</c:f>
              <c:numCache>
                <c:formatCode>General</c:formatCode>
                <c:ptCount val="20"/>
                <c:pt idx="0">
                  <c:v>1.3208646349146137E-2</c:v>
                </c:pt>
                <c:pt idx="1">
                  <c:v>1.5364814425936337E-2</c:v>
                </c:pt>
                <c:pt idx="2">
                  <c:v>1.9923047221638908E-2</c:v>
                </c:pt>
                <c:pt idx="3">
                  <c:v>2.3754428510462465E-2</c:v>
                </c:pt>
                <c:pt idx="4">
                  <c:v>2.7325687731586543E-2</c:v>
                </c:pt>
                <c:pt idx="5">
                  <c:v>3.0793981967579577E-2</c:v>
                </c:pt>
                <c:pt idx="6">
                  <c:v>3.349071621630776E-2</c:v>
                </c:pt>
                <c:pt idx="7">
                  <c:v>3.7824729208863116E-2</c:v>
                </c:pt>
                <c:pt idx="8">
                  <c:v>3.9678776342439867E-2</c:v>
                </c:pt>
                <c:pt idx="9">
                  <c:v>4.1796332549805928E-2</c:v>
                </c:pt>
                <c:pt idx="10">
                  <c:v>4.3364516369400433E-2</c:v>
                </c:pt>
                <c:pt idx="11">
                  <c:v>4.5123049931243782E-2</c:v>
                </c:pt>
                <c:pt idx="12">
                  <c:v>5.6123368309816221E-2</c:v>
                </c:pt>
                <c:pt idx="13">
                  <c:v>6.459901234902421E-2</c:v>
                </c:pt>
                <c:pt idx="14">
                  <c:v>6.7988050642515063E-2</c:v>
                </c:pt>
                <c:pt idx="15">
                  <c:v>7.1904107083584537E-2</c:v>
                </c:pt>
                <c:pt idx="16">
                  <c:v>7.7250834897001158E-2</c:v>
                </c:pt>
                <c:pt idx="17">
                  <c:v>8.4671765239833913E-2</c:v>
                </c:pt>
                <c:pt idx="18">
                  <c:v>0.1079730123354762</c:v>
                </c:pt>
                <c:pt idx="19">
                  <c:v>0.14956951152598172</c:v>
                </c:pt>
              </c:numCache>
            </c:numRef>
          </c:xVal>
          <c:yVal>
            <c:numRef>
              <c:f>'Run 1 (Ty)'!$F$202:$F$221</c:f>
              <c:numCache>
                <c:formatCode>General</c:formatCode>
                <c:ptCount val="20"/>
                <c:pt idx="0">
                  <c:v>90.482200000000006</c:v>
                </c:pt>
                <c:pt idx="1">
                  <c:v>87.025199999999998</c:v>
                </c:pt>
                <c:pt idx="2">
                  <c:v>85.926000000000002</c:v>
                </c:pt>
                <c:pt idx="3">
                  <c:v>87.687700000000007</c:v>
                </c:pt>
                <c:pt idx="4">
                  <c:v>86.1892</c:v>
                </c:pt>
                <c:pt idx="5">
                  <c:v>85.759699999999995</c:v>
                </c:pt>
                <c:pt idx="6">
                  <c:v>86.450400000000002</c:v>
                </c:pt>
                <c:pt idx="7">
                  <c:v>87.097200000000001</c:v>
                </c:pt>
                <c:pt idx="8">
                  <c:v>87.342799999999997</c:v>
                </c:pt>
                <c:pt idx="9">
                  <c:v>87.9071</c:v>
                </c:pt>
                <c:pt idx="10">
                  <c:v>90.712599999999995</c:v>
                </c:pt>
                <c:pt idx="11">
                  <c:v>87.141199999999998</c:v>
                </c:pt>
                <c:pt idx="12">
                  <c:v>87.908600000000007</c:v>
                </c:pt>
                <c:pt idx="13">
                  <c:v>88.4696</c:v>
                </c:pt>
                <c:pt idx="14">
                  <c:v>88.674300000000002</c:v>
                </c:pt>
                <c:pt idx="15">
                  <c:v>89.965900000000005</c:v>
                </c:pt>
                <c:pt idx="16">
                  <c:v>89.539100000000005</c:v>
                </c:pt>
                <c:pt idx="17">
                  <c:v>89.439700000000002</c:v>
                </c:pt>
                <c:pt idx="18">
                  <c:v>89.819699999999997</c:v>
                </c:pt>
                <c:pt idx="19">
                  <c:v>91.408000000000001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3F-4D38-B308-D7E846688C8E}"/>
            </c:ext>
          </c:extLst>
        </c:ser>
        <c:ser>
          <c:idx val="11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(Ty)'!$H$222:$H$241</c:f>
              <c:numCache>
                <c:formatCode>General</c:formatCode>
                <c:ptCount val="20"/>
                <c:pt idx="0">
                  <c:v>1.1946647880072889E-2</c:v>
                </c:pt>
                <c:pt idx="1">
                  <c:v>1.2344282395019746E-2</c:v>
                </c:pt>
                <c:pt idx="2">
                  <c:v>1.2855720314585126E-2</c:v>
                </c:pt>
                <c:pt idx="3">
                  <c:v>1.3707213645570135E-2</c:v>
                </c:pt>
                <c:pt idx="4">
                  <c:v>1.450790188520759E-2</c:v>
                </c:pt>
                <c:pt idx="5">
                  <c:v>1.5659483955752153E-2</c:v>
                </c:pt>
                <c:pt idx="6">
                  <c:v>1.7128089796305455E-2</c:v>
                </c:pt>
                <c:pt idx="7">
                  <c:v>1.9692730807529993E-2</c:v>
                </c:pt>
                <c:pt idx="8">
                  <c:v>2.0471064806974523E-2</c:v>
                </c:pt>
                <c:pt idx="9">
                  <c:v>2.1857705100153772E-2</c:v>
                </c:pt>
                <c:pt idx="10">
                  <c:v>2.2531041910813357E-2</c:v>
                </c:pt>
                <c:pt idx="11">
                  <c:v>2.3434695135581853E-2</c:v>
                </c:pt>
                <c:pt idx="12">
                  <c:v>3.7465029162122437E-2</c:v>
                </c:pt>
                <c:pt idx="13">
                  <c:v>4.4251234563719745E-2</c:v>
                </c:pt>
                <c:pt idx="14">
                  <c:v>4.5376397986763586E-2</c:v>
                </c:pt>
                <c:pt idx="15">
                  <c:v>4.7052966001232877E-2</c:v>
                </c:pt>
                <c:pt idx="16">
                  <c:v>4.9378484382514923E-2</c:v>
                </c:pt>
                <c:pt idx="17">
                  <c:v>5.3186156628709617E-2</c:v>
                </c:pt>
                <c:pt idx="18">
                  <c:v>6.9714068945895977E-2</c:v>
                </c:pt>
                <c:pt idx="19">
                  <c:v>9.585701415091144E-2</c:v>
                </c:pt>
              </c:numCache>
            </c:numRef>
          </c:xVal>
          <c:yVal>
            <c:numRef>
              <c:f>'Run 1 (Ty)'!$F$222:$F$241</c:f>
              <c:numCache>
                <c:formatCode>General</c:formatCode>
                <c:ptCount val="20"/>
                <c:pt idx="0">
                  <c:v>83.5655</c:v>
                </c:pt>
                <c:pt idx="1">
                  <c:v>83.769800000000004</c:v>
                </c:pt>
                <c:pt idx="2">
                  <c:v>85.512200000000007</c:v>
                </c:pt>
                <c:pt idx="3">
                  <c:v>85.896900000000002</c:v>
                </c:pt>
                <c:pt idx="4">
                  <c:v>86.325199999999995</c:v>
                </c:pt>
                <c:pt idx="5">
                  <c:v>89.334599999999995</c:v>
                </c:pt>
                <c:pt idx="6">
                  <c:v>89.944199999999995</c:v>
                </c:pt>
                <c:pt idx="7">
                  <c:v>90.290999999999997</c:v>
                </c:pt>
                <c:pt idx="8">
                  <c:v>88.083200000000005</c:v>
                </c:pt>
                <c:pt idx="9">
                  <c:v>87.448400000000007</c:v>
                </c:pt>
                <c:pt idx="10">
                  <c:v>87.286100000000005</c:v>
                </c:pt>
                <c:pt idx="11">
                  <c:v>85.970100000000002</c:v>
                </c:pt>
                <c:pt idx="12">
                  <c:v>89.701999999999998</c:v>
                </c:pt>
                <c:pt idx="13">
                  <c:v>87.880099999999999</c:v>
                </c:pt>
                <c:pt idx="14">
                  <c:v>90.820300000000003</c:v>
                </c:pt>
                <c:pt idx="15">
                  <c:v>90.258499999999998</c:v>
                </c:pt>
                <c:pt idx="16">
                  <c:v>92.924499999999995</c:v>
                </c:pt>
                <c:pt idx="17">
                  <c:v>90.956699999999998</c:v>
                </c:pt>
                <c:pt idx="18">
                  <c:v>89.386099999999999</c:v>
                </c:pt>
                <c:pt idx="19">
                  <c:v>89.785700000000006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3F-4D38-B308-D7E846688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6671621399273283"/>
              <c:y val="0.927348823664775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100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5808636450056118"/>
              <c:y val="0.406346528454952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2.3820142389815131E-2"/>
          <c:y val="2.9096848484458773E-2"/>
          <c:w val="0.13963663146955635"/>
          <c:h val="0.6329019269749391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679860206400414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(Ty)'!$E$2:$E$21</c:f>
              <c:numCache>
                <c:formatCode>General</c:formatCode>
                <c:ptCount val="2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</c:numCache>
            </c:numRef>
          </c:xVal>
          <c:yVal>
            <c:numRef>
              <c:f>'Run 1 (Ty)'!$D$2:$D$21</c:f>
              <c:numCache>
                <c:formatCode>General</c:formatCode>
                <c:ptCount val="20"/>
                <c:pt idx="0">
                  <c:v>143.44999999999999</c:v>
                </c:pt>
                <c:pt idx="1">
                  <c:v>149.47</c:v>
                </c:pt>
                <c:pt idx="2">
                  <c:v>166.19</c:v>
                </c:pt>
                <c:pt idx="3">
                  <c:v>183.66</c:v>
                </c:pt>
                <c:pt idx="4">
                  <c:v>201.01</c:v>
                </c:pt>
                <c:pt idx="5">
                  <c:v>218.53</c:v>
                </c:pt>
                <c:pt idx="6">
                  <c:v>235.49</c:v>
                </c:pt>
                <c:pt idx="7">
                  <c:v>252.07</c:v>
                </c:pt>
                <c:pt idx="8">
                  <c:v>266.63</c:v>
                </c:pt>
                <c:pt idx="9">
                  <c:v>284.75</c:v>
                </c:pt>
                <c:pt idx="10">
                  <c:v>299.54000000000002</c:v>
                </c:pt>
                <c:pt idx="11">
                  <c:v>315.70999999999998</c:v>
                </c:pt>
                <c:pt idx="12">
                  <c:v>336.05</c:v>
                </c:pt>
                <c:pt idx="13">
                  <c:v>365.98</c:v>
                </c:pt>
                <c:pt idx="14">
                  <c:v>399.86</c:v>
                </c:pt>
                <c:pt idx="15">
                  <c:v>442.34</c:v>
                </c:pt>
                <c:pt idx="16">
                  <c:v>512.20000000000005</c:v>
                </c:pt>
                <c:pt idx="17">
                  <c:v>612</c:v>
                </c:pt>
                <c:pt idx="18">
                  <c:v>805.23</c:v>
                </c:pt>
                <c:pt idx="19">
                  <c:v>1253.42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1-45A0-8DF0-A5C2A83E430E}"/>
            </c:ext>
          </c:extLst>
        </c:ser>
        <c:ser>
          <c:idx val="2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(Ty)'!$E$22:$E$41</c:f>
              <c:numCache>
                <c:formatCode>General</c:formatCode>
                <c:ptCount val="2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</c:numCache>
            </c:numRef>
          </c:xVal>
          <c:yVal>
            <c:numRef>
              <c:f>'Run 1 (Ty)'!$D$22:$D$41</c:f>
              <c:numCache>
                <c:formatCode>General</c:formatCode>
                <c:ptCount val="20"/>
                <c:pt idx="0">
                  <c:v>14.7</c:v>
                </c:pt>
                <c:pt idx="1">
                  <c:v>16.18</c:v>
                </c:pt>
                <c:pt idx="2">
                  <c:v>20.7</c:v>
                </c:pt>
                <c:pt idx="3">
                  <c:v>24.79</c:v>
                </c:pt>
                <c:pt idx="4">
                  <c:v>28.77</c:v>
                </c:pt>
                <c:pt idx="5">
                  <c:v>32.42</c:v>
                </c:pt>
                <c:pt idx="6">
                  <c:v>35.659999999999997</c:v>
                </c:pt>
                <c:pt idx="7">
                  <c:v>38.74</c:v>
                </c:pt>
                <c:pt idx="8">
                  <c:v>41.25</c:v>
                </c:pt>
                <c:pt idx="9">
                  <c:v>44.26</c:v>
                </c:pt>
                <c:pt idx="10">
                  <c:v>46.83</c:v>
                </c:pt>
                <c:pt idx="11">
                  <c:v>49.43</c:v>
                </c:pt>
                <c:pt idx="12">
                  <c:v>52.81</c:v>
                </c:pt>
                <c:pt idx="13">
                  <c:v>57.18</c:v>
                </c:pt>
                <c:pt idx="14">
                  <c:v>62.01</c:v>
                </c:pt>
                <c:pt idx="15">
                  <c:v>67.72</c:v>
                </c:pt>
                <c:pt idx="16">
                  <c:v>76.569999999999993</c:v>
                </c:pt>
                <c:pt idx="17">
                  <c:v>88.74</c:v>
                </c:pt>
                <c:pt idx="18">
                  <c:v>110.27</c:v>
                </c:pt>
                <c:pt idx="19">
                  <c:v>157.13999999999999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11-45A0-8DF0-A5C2A83E430E}"/>
            </c:ext>
          </c:extLst>
        </c:ser>
        <c:ser>
          <c:idx val="3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(Ty)'!$E$42:$E$61</c:f>
              <c:numCache>
                <c:formatCode>General</c:formatCode>
                <c:ptCount val="20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</c:numCache>
            </c:numRef>
          </c:xVal>
          <c:yVal>
            <c:numRef>
              <c:f>'Run 1 (Ty)'!$D$42:$D$61</c:f>
              <c:numCache>
                <c:formatCode>General</c:formatCode>
                <c:ptCount val="20"/>
                <c:pt idx="0">
                  <c:v>25.47</c:v>
                </c:pt>
                <c:pt idx="1">
                  <c:v>29.1</c:v>
                </c:pt>
                <c:pt idx="2">
                  <c:v>35.89</c:v>
                </c:pt>
                <c:pt idx="3">
                  <c:v>42.39</c:v>
                </c:pt>
                <c:pt idx="4">
                  <c:v>48.9</c:v>
                </c:pt>
                <c:pt idx="5">
                  <c:v>54.54</c:v>
                </c:pt>
                <c:pt idx="6">
                  <c:v>58.88</c:v>
                </c:pt>
                <c:pt idx="7">
                  <c:v>65.540000000000006</c:v>
                </c:pt>
                <c:pt idx="8">
                  <c:v>70.03</c:v>
                </c:pt>
                <c:pt idx="9">
                  <c:v>73.489999999999995</c:v>
                </c:pt>
                <c:pt idx="10">
                  <c:v>75.680000000000007</c:v>
                </c:pt>
                <c:pt idx="11">
                  <c:v>78.27</c:v>
                </c:pt>
                <c:pt idx="12">
                  <c:v>87.8</c:v>
                </c:pt>
                <c:pt idx="13">
                  <c:v>95.25</c:v>
                </c:pt>
                <c:pt idx="14">
                  <c:v>98.96</c:v>
                </c:pt>
                <c:pt idx="15">
                  <c:v>103.52</c:v>
                </c:pt>
                <c:pt idx="16">
                  <c:v>111.51</c:v>
                </c:pt>
                <c:pt idx="17">
                  <c:v>119.77</c:v>
                </c:pt>
                <c:pt idx="18">
                  <c:v>144.38</c:v>
                </c:pt>
                <c:pt idx="19">
                  <c:v>190.78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11-45A0-8DF0-A5C2A83E430E}"/>
            </c:ext>
          </c:extLst>
        </c:ser>
        <c:ser>
          <c:idx val="4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(Ty)'!$E$62:$E$81</c:f>
              <c:numCache>
                <c:formatCode>General</c:formatCode>
                <c:ptCount val="20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</c:numCache>
            </c:numRef>
          </c:xVal>
          <c:yVal>
            <c:numRef>
              <c:f>'Run 1 (Ty)'!$D$62:$D$81</c:f>
              <c:numCache>
                <c:formatCode>General</c:formatCode>
                <c:ptCount val="20"/>
                <c:pt idx="0">
                  <c:v>33.61</c:v>
                </c:pt>
                <c:pt idx="1">
                  <c:v>39.24</c:v>
                </c:pt>
                <c:pt idx="2">
                  <c:v>50.87</c:v>
                </c:pt>
                <c:pt idx="3">
                  <c:v>61.86</c:v>
                </c:pt>
                <c:pt idx="4">
                  <c:v>73.78</c:v>
                </c:pt>
                <c:pt idx="5">
                  <c:v>85.85</c:v>
                </c:pt>
                <c:pt idx="6">
                  <c:v>97.58</c:v>
                </c:pt>
                <c:pt idx="7">
                  <c:v>109.39</c:v>
                </c:pt>
                <c:pt idx="8">
                  <c:v>119.5</c:v>
                </c:pt>
                <c:pt idx="9">
                  <c:v>131.49</c:v>
                </c:pt>
                <c:pt idx="10">
                  <c:v>142.1</c:v>
                </c:pt>
                <c:pt idx="11">
                  <c:v>153.31</c:v>
                </c:pt>
                <c:pt idx="12">
                  <c:v>168.07</c:v>
                </c:pt>
                <c:pt idx="13">
                  <c:v>187.11</c:v>
                </c:pt>
                <c:pt idx="14">
                  <c:v>211.69</c:v>
                </c:pt>
                <c:pt idx="15">
                  <c:v>241.11</c:v>
                </c:pt>
                <c:pt idx="16">
                  <c:v>288.60000000000002</c:v>
                </c:pt>
                <c:pt idx="17">
                  <c:v>357.13</c:v>
                </c:pt>
                <c:pt idx="18">
                  <c:v>477.03</c:v>
                </c:pt>
                <c:pt idx="19">
                  <c:v>721.28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11-45A0-8DF0-A5C2A83E430E}"/>
            </c:ext>
          </c:extLst>
        </c:ser>
        <c:ser>
          <c:idx val="5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(Ty)'!$E$82:$E$101</c:f>
              <c:numCache>
                <c:formatCode>General</c:formatCode>
                <c:ptCount val="20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</c:numCache>
            </c:numRef>
          </c:xVal>
          <c:yVal>
            <c:numRef>
              <c:f>'Run 1 (Ty)'!$D$82:$D$101</c:f>
              <c:numCache>
                <c:formatCode>General</c:formatCode>
                <c:ptCount val="20"/>
                <c:pt idx="0">
                  <c:v>56.49</c:v>
                </c:pt>
                <c:pt idx="1">
                  <c:v>67.41</c:v>
                </c:pt>
                <c:pt idx="2">
                  <c:v>89.88</c:v>
                </c:pt>
                <c:pt idx="3">
                  <c:v>109.95</c:v>
                </c:pt>
                <c:pt idx="4">
                  <c:v>128.11000000000001</c:v>
                </c:pt>
                <c:pt idx="5">
                  <c:v>144.63999999999999</c:v>
                </c:pt>
                <c:pt idx="6">
                  <c:v>159.84</c:v>
                </c:pt>
                <c:pt idx="7">
                  <c:v>174.68</c:v>
                </c:pt>
                <c:pt idx="8">
                  <c:v>186.7</c:v>
                </c:pt>
                <c:pt idx="9">
                  <c:v>200.51</c:v>
                </c:pt>
                <c:pt idx="10">
                  <c:v>211.91</c:v>
                </c:pt>
                <c:pt idx="11">
                  <c:v>223.78</c:v>
                </c:pt>
                <c:pt idx="12">
                  <c:v>238.84</c:v>
                </c:pt>
                <c:pt idx="13">
                  <c:v>257.83</c:v>
                </c:pt>
                <c:pt idx="14">
                  <c:v>280.25</c:v>
                </c:pt>
                <c:pt idx="15">
                  <c:v>306</c:v>
                </c:pt>
                <c:pt idx="16">
                  <c:v>346.67</c:v>
                </c:pt>
                <c:pt idx="17">
                  <c:v>402.15</c:v>
                </c:pt>
                <c:pt idx="18">
                  <c:v>501.62</c:v>
                </c:pt>
                <c:pt idx="19">
                  <c:v>714.34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11-45A0-8DF0-A5C2A83E430E}"/>
            </c:ext>
          </c:extLst>
        </c:ser>
        <c:ser>
          <c:idx val="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(Ty)'!$E$102:$E$121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1 (Ty)'!$D$102:$D$121</c:f>
              <c:numCache>
                <c:formatCode>General</c:formatCode>
                <c:ptCount val="20"/>
                <c:pt idx="0">
                  <c:v>78.099999999999994</c:v>
                </c:pt>
                <c:pt idx="1">
                  <c:v>88.73</c:v>
                </c:pt>
                <c:pt idx="2">
                  <c:v>110.72</c:v>
                </c:pt>
                <c:pt idx="3">
                  <c:v>131.22999999999999</c:v>
                </c:pt>
                <c:pt idx="4">
                  <c:v>151.69999999999999</c:v>
                </c:pt>
                <c:pt idx="5">
                  <c:v>173.04</c:v>
                </c:pt>
                <c:pt idx="6">
                  <c:v>187.9</c:v>
                </c:pt>
                <c:pt idx="7">
                  <c:v>204.63</c:v>
                </c:pt>
                <c:pt idx="8">
                  <c:v>216.66</c:v>
                </c:pt>
                <c:pt idx="9">
                  <c:v>231.99</c:v>
                </c:pt>
                <c:pt idx="10">
                  <c:v>243.02</c:v>
                </c:pt>
                <c:pt idx="11">
                  <c:v>256.2</c:v>
                </c:pt>
                <c:pt idx="12">
                  <c:v>275.08999999999997</c:v>
                </c:pt>
                <c:pt idx="13">
                  <c:v>300.38</c:v>
                </c:pt>
                <c:pt idx="14">
                  <c:v>318.26</c:v>
                </c:pt>
                <c:pt idx="15">
                  <c:v>342.5</c:v>
                </c:pt>
                <c:pt idx="16">
                  <c:v>381.95</c:v>
                </c:pt>
                <c:pt idx="17">
                  <c:v>419.71</c:v>
                </c:pt>
                <c:pt idx="18">
                  <c:v>485.13</c:v>
                </c:pt>
                <c:pt idx="19">
                  <c:v>639.75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11-45A0-8DF0-A5C2A83E430E}"/>
            </c:ext>
          </c:extLst>
        </c:ser>
        <c:ser>
          <c:idx val="6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(Ty)'!$E$122:$E$141</c:f>
              <c:numCache>
                <c:formatCode>General</c:formatCode>
                <c:ptCount val="20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</c:numCache>
            </c:numRef>
          </c:xVal>
          <c:yVal>
            <c:numRef>
              <c:f>'Run 1 (Ty)'!$D$122:$D$141</c:f>
              <c:numCache>
                <c:formatCode>General</c:formatCode>
                <c:ptCount val="20"/>
                <c:pt idx="0">
                  <c:v>54.83</c:v>
                </c:pt>
                <c:pt idx="1">
                  <c:v>61.13</c:v>
                </c:pt>
                <c:pt idx="2">
                  <c:v>73.52</c:v>
                </c:pt>
                <c:pt idx="3">
                  <c:v>84.73</c:v>
                </c:pt>
                <c:pt idx="4">
                  <c:v>94.64</c:v>
                </c:pt>
                <c:pt idx="5">
                  <c:v>104.55</c:v>
                </c:pt>
                <c:pt idx="6">
                  <c:v>113.74</c:v>
                </c:pt>
                <c:pt idx="7">
                  <c:v>122.57</c:v>
                </c:pt>
                <c:pt idx="8">
                  <c:v>130.38</c:v>
                </c:pt>
                <c:pt idx="9">
                  <c:v>139.66</c:v>
                </c:pt>
                <c:pt idx="10">
                  <c:v>147.34</c:v>
                </c:pt>
                <c:pt idx="11">
                  <c:v>155.44999999999999</c:v>
                </c:pt>
                <c:pt idx="12">
                  <c:v>165.84</c:v>
                </c:pt>
                <c:pt idx="13">
                  <c:v>180.97</c:v>
                </c:pt>
                <c:pt idx="14">
                  <c:v>198.23</c:v>
                </c:pt>
                <c:pt idx="15">
                  <c:v>219.19</c:v>
                </c:pt>
                <c:pt idx="16">
                  <c:v>254.75</c:v>
                </c:pt>
                <c:pt idx="17">
                  <c:v>308.55</c:v>
                </c:pt>
                <c:pt idx="18">
                  <c:v>419.9</c:v>
                </c:pt>
                <c:pt idx="19">
                  <c:v>694.57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11-45A0-8DF0-A5C2A83E430E}"/>
            </c:ext>
          </c:extLst>
        </c:ser>
        <c:ser>
          <c:idx val="7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(Ty)'!$E$142:$E$161</c:f>
              <c:numCache>
                <c:formatCode>General</c:formatCode>
                <c:ptCount val="20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</c:numCache>
            </c:numRef>
          </c:xVal>
          <c:yVal>
            <c:numRef>
              <c:f>'Run 1 (Ty)'!$D$142:$D$161</c:f>
              <c:numCache>
                <c:formatCode>General</c:formatCode>
                <c:ptCount val="20"/>
                <c:pt idx="0">
                  <c:v>66.33</c:v>
                </c:pt>
                <c:pt idx="1">
                  <c:v>78.61</c:v>
                </c:pt>
                <c:pt idx="2">
                  <c:v>104.62</c:v>
                </c:pt>
                <c:pt idx="3">
                  <c:v>127.76</c:v>
                </c:pt>
                <c:pt idx="4">
                  <c:v>147.83000000000001</c:v>
                </c:pt>
                <c:pt idx="5">
                  <c:v>167.2</c:v>
                </c:pt>
                <c:pt idx="6">
                  <c:v>185.61</c:v>
                </c:pt>
                <c:pt idx="7">
                  <c:v>203.22</c:v>
                </c:pt>
                <c:pt idx="8">
                  <c:v>216.95</c:v>
                </c:pt>
                <c:pt idx="9">
                  <c:v>232.04</c:v>
                </c:pt>
                <c:pt idx="10">
                  <c:v>244.99</c:v>
                </c:pt>
                <c:pt idx="11">
                  <c:v>258.57</c:v>
                </c:pt>
                <c:pt idx="12">
                  <c:v>275.42</c:v>
                </c:pt>
                <c:pt idx="13">
                  <c:v>296.8</c:v>
                </c:pt>
                <c:pt idx="14">
                  <c:v>321</c:v>
                </c:pt>
                <c:pt idx="15">
                  <c:v>349.3</c:v>
                </c:pt>
                <c:pt idx="16">
                  <c:v>392.49</c:v>
                </c:pt>
                <c:pt idx="17">
                  <c:v>452.93</c:v>
                </c:pt>
                <c:pt idx="18">
                  <c:v>567.84</c:v>
                </c:pt>
                <c:pt idx="19">
                  <c:v>813.38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11-45A0-8DF0-A5C2A83E430E}"/>
            </c:ext>
          </c:extLst>
        </c:ser>
        <c:ser>
          <c:idx val="8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(Ty)'!$E$162:$E$181</c:f>
              <c:numCache>
                <c:formatCode>General</c:formatCode>
                <c:ptCount val="20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</c:numCache>
            </c:numRef>
          </c:xVal>
          <c:yVal>
            <c:numRef>
              <c:f>'Run 1 (Ty)'!$D$162:$D$181</c:f>
              <c:numCache>
                <c:formatCode>General</c:formatCode>
                <c:ptCount val="20"/>
                <c:pt idx="0">
                  <c:v>66.75</c:v>
                </c:pt>
                <c:pt idx="1">
                  <c:v>80.760000000000005</c:v>
                </c:pt>
                <c:pt idx="2">
                  <c:v>107.9</c:v>
                </c:pt>
                <c:pt idx="3">
                  <c:v>132.01</c:v>
                </c:pt>
                <c:pt idx="4">
                  <c:v>154.22</c:v>
                </c:pt>
                <c:pt idx="5">
                  <c:v>174.97</c:v>
                </c:pt>
                <c:pt idx="6">
                  <c:v>194.64</c:v>
                </c:pt>
                <c:pt idx="7">
                  <c:v>213.26</c:v>
                </c:pt>
                <c:pt idx="8">
                  <c:v>228.69</c:v>
                </c:pt>
                <c:pt idx="9">
                  <c:v>245.85</c:v>
                </c:pt>
                <c:pt idx="10">
                  <c:v>261.41000000000003</c:v>
                </c:pt>
                <c:pt idx="11">
                  <c:v>277.49</c:v>
                </c:pt>
                <c:pt idx="12">
                  <c:v>297.48</c:v>
                </c:pt>
                <c:pt idx="13">
                  <c:v>322.77</c:v>
                </c:pt>
                <c:pt idx="14">
                  <c:v>351.82</c:v>
                </c:pt>
                <c:pt idx="15">
                  <c:v>385.83</c:v>
                </c:pt>
                <c:pt idx="16">
                  <c:v>439.3</c:v>
                </c:pt>
                <c:pt idx="17">
                  <c:v>512.41999999999996</c:v>
                </c:pt>
                <c:pt idx="18">
                  <c:v>643.14</c:v>
                </c:pt>
                <c:pt idx="19">
                  <c:v>924.01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11-45A0-8DF0-A5C2A83E430E}"/>
            </c:ext>
          </c:extLst>
        </c:ser>
        <c:ser>
          <c:idx val="9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(Ty)'!$E$182:$E$201</c:f>
              <c:numCache>
                <c:formatCode>General</c:formatCode>
                <c:ptCount val="20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</c:numCache>
            </c:numRef>
          </c:xVal>
          <c:yVal>
            <c:numRef>
              <c:f>'Run 1 (Ty)'!$D$182:$D$201</c:f>
              <c:numCache>
                <c:formatCode>General</c:formatCode>
                <c:ptCount val="20"/>
                <c:pt idx="0">
                  <c:v>28.69</c:v>
                </c:pt>
                <c:pt idx="1">
                  <c:v>31.22</c:v>
                </c:pt>
                <c:pt idx="2">
                  <c:v>35.69</c:v>
                </c:pt>
                <c:pt idx="3">
                  <c:v>39.75</c:v>
                </c:pt>
                <c:pt idx="4">
                  <c:v>42.86</c:v>
                </c:pt>
                <c:pt idx="5">
                  <c:v>46.03</c:v>
                </c:pt>
                <c:pt idx="6">
                  <c:v>48.81</c:v>
                </c:pt>
                <c:pt idx="7">
                  <c:v>51</c:v>
                </c:pt>
                <c:pt idx="8">
                  <c:v>53.18</c:v>
                </c:pt>
                <c:pt idx="9">
                  <c:v>55.18</c:v>
                </c:pt>
                <c:pt idx="10">
                  <c:v>56.89</c:v>
                </c:pt>
                <c:pt idx="11">
                  <c:v>59.11</c:v>
                </c:pt>
                <c:pt idx="12">
                  <c:v>61.68</c:v>
                </c:pt>
                <c:pt idx="13">
                  <c:v>64.81</c:v>
                </c:pt>
                <c:pt idx="14">
                  <c:v>68.62</c:v>
                </c:pt>
                <c:pt idx="15">
                  <c:v>72.86</c:v>
                </c:pt>
                <c:pt idx="16">
                  <c:v>77.930000000000007</c:v>
                </c:pt>
                <c:pt idx="17">
                  <c:v>84.59</c:v>
                </c:pt>
                <c:pt idx="18">
                  <c:v>98.49</c:v>
                </c:pt>
                <c:pt idx="19">
                  <c:v>125.98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F11-45A0-8DF0-A5C2A83E430E}"/>
            </c:ext>
          </c:extLst>
        </c:ser>
        <c:ser>
          <c:idx val="10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(Ty)'!$E$202:$E$221</c:f>
              <c:numCache>
                <c:formatCode>General</c:formatCode>
                <c:ptCount val="20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</c:numCache>
            </c:numRef>
          </c:xVal>
          <c:yVal>
            <c:numRef>
              <c:f>'Run 1 (Ty)'!$D$202:$D$221</c:f>
              <c:numCache>
                <c:formatCode>General</c:formatCode>
                <c:ptCount val="20"/>
                <c:pt idx="0">
                  <c:v>194.99</c:v>
                </c:pt>
                <c:pt idx="1">
                  <c:v>226.82</c:v>
                </c:pt>
                <c:pt idx="2">
                  <c:v>294.11</c:v>
                </c:pt>
                <c:pt idx="3">
                  <c:v>350.67</c:v>
                </c:pt>
                <c:pt idx="4">
                  <c:v>403.39</c:v>
                </c:pt>
                <c:pt idx="5">
                  <c:v>454.59</c:v>
                </c:pt>
                <c:pt idx="6">
                  <c:v>494.4</c:v>
                </c:pt>
                <c:pt idx="7">
                  <c:v>558.38</c:v>
                </c:pt>
                <c:pt idx="8">
                  <c:v>585.75</c:v>
                </c:pt>
                <c:pt idx="9">
                  <c:v>617.01</c:v>
                </c:pt>
                <c:pt idx="10">
                  <c:v>640.16</c:v>
                </c:pt>
                <c:pt idx="11">
                  <c:v>666.12</c:v>
                </c:pt>
                <c:pt idx="12">
                  <c:v>828.51</c:v>
                </c:pt>
                <c:pt idx="13">
                  <c:v>953.63</c:v>
                </c:pt>
                <c:pt idx="14">
                  <c:v>1003.66</c:v>
                </c:pt>
                <c:pt idx="15">
                  <c:v>1061.47</c:v>
                </c:pt>
                <c:pt idx="16">
                  <c:v>1140.4000000000001</c:v>
                </c:pt>
                <c:pt idx="17">
                  <c:v>1249.95</c:v>
                </c:pt>
                <c:pt idx="18">
                  <c:v>1593.93</c:v>
                </c:pt>
                <c:pt idx="19">
                  <c:v>2207.9899999999998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F11-45A0-8DF0-A5C2A83E430E}"/>
            </c:ext>
          </c:extLst>
        </c:ser>
        <c:ser>
          <c:idx val="11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(Ty)'!$E$222:$E$241</c:f>
              <c:numCache>
                <c:formatCode>General</c:formatCode>
                <c:ptCount val="20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</c:numCache>
            </c:numRef>
          </c:xVal>
          <c:yVal>
            <c:numRef>
              <c:f>'Run 1 (Ty)'!$D$222:$D$241</c:f>
              <c:numCache>
                <c:formatCode>General</c:formatCode>
                <c:ptCount val="20"/>
                <c:pt idx="0">
                  <c:v>176.36</c:v>
                </c:pt>
                <c:pt idx="1">
                  <c:v>182.23</c:v>
                </c:pt>
                <c:pt idx="2">
                  <c:v>189.78</c:v>
                </c:pt>
                <c:pt idx="3">
                  <c:v>202.35</c:v>
                </c:pt>
                <c:pt idx="4">
                  <c:v>214.17</c:v>
                </c:pt>
                <c:pt idx="5">
                  <c:v>231.17</c:v>
                </c:pt>
                <c:pt idx="6">
                  <c:v>252.85</c:v>
                </c:pt>
                <c:pt idx="7">
                  <c:v>290.70999999999998</c:v>
                </c:pt>
                <c:pt idx="8">
                  <c:v>302.2</c:v>
                </c:pt>
                <c:pt idx="9">
                  <c:v>322.67</c:v>
                </c:pt>
                <c:pt idx="10">
                  <c:v>332.61</c:v>
                </c:pt>
                <c:pt idx="11">
                  <c:v>345.95</c:v>
                </c:pt>
                <c:pt idx="12">
                  <c:v>553.07000000000005</c:v>
                </c:pt>
                <c:pt idx="13">
                  <c:v>653.25</c:v>
                </c:pt>
                <c:pt idx="14">
                  <c:v>669.86</c:v>
                </c:pt>
                <c:pt idx="15">
                  <c:v>694.61</c:v>
                </c:pt>
                <c:pt idx="16">
                  <c:v>728.94</c:v>
                </c:pt>
                <c:pt idx="17">
                  <c:v>785.15</c:v>
                </c:pt>
                <c:pt idx="18">
                  <c:v>1029.1400000000001</c:v>
                </c:pt>
                <c:pt idx="19">
                  <c:v>1415.07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F11-45A0-8DF0-A5C2A83E4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911469717713879"/>
              <c:y val="0.91272846833670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7717915814386207"/>
        </c:manualLayout>
      </c:layout>
      <c:scatterChart>
        <c:scatterStyle val="lineMarker"/>
        <c:varyColors val="0"/>
        <c:ser>
          <c:idx val="1"/>
          <c:order val="0"/>
          <c:tx>
            <c:v>Lossy Origin</c:v>
          </c:tx>
          <c:spPr>
            <a:ln w="38100">
              <a:noFill/>
            </a:ln>
          </c:spPr>
          <c:xVal>
            <c:numRef>
              <c:f>('Run 1 (Ty)'!$E$2:$E$21,'Run 1 (Ty)'!$E$42:$E$61,'Run 1 (Ty)'!$E$102:$E$121,'Run 1 (Ty)'!$E$182:$E$201)</c:f>
              <c:numCache>
                <c:formatCode>General</c:formatCode>
                <c:ptCount val="8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  <c:pt idx="20">
                  <c:v>12.46</c:v>
                </c:pt>
                <c:pt idx="21">
                  <c:v>14.52</c:v>
                </c:pt>
                <c:pt idx="22">
                  <c:v>19.36</c:v>
                </c:pt>
                <c:pt idx="23">
                  <c:v>23.2</c:v>
                </c:pt>
                <c:pt idx="24">
                  <c:v>27.03</c:v>
                </c:pt>
                <c:pt idx="25">
                  <c:v>30.16</c:v>
                </c:pt>
                <c:pt idx="26">
                  <c:v>33.47</c:v>
                </c:pt>
                <c:pt idx="27">
                  <c:v>37.68</c:v>
                </c:pt>
                <c:pt idx="28">
                  <c:v>39.11</c:v>
                </c:pt>
                <c:pt idx="29">
                  <c:v>40.619999999999997</c:v>
                </c:pt>
                <c:pt idx="30">
                  <c:v>42.18</c:v>
                </c:pt>
                <c:pt idx="31">
                  <c:v>44.29</c:v>
                </c:pt>
                <c:pt idx="32">
                  <c:v>53.72</c:v>
                </c:pt>
                <c:pt idx="33">
                  <c:v>60.18</c:v>
                </c:pt>
                <c:pt idx="34">
                  <c:v>63.32</c:v>
                </c:pt>
                <c:pt idx="35">
                  <c:v>67.239999999999995</c:v>
                </c:pt>
                <c:pt idx="36">
                  <c:v>72.150000000000006</c:v>
                </c:pt>
                <c:pt idx="37">
                  <c:v>79.27</c:v>
                </c:pt>
                <c:pt idx="38">
                  <c:v>99.38</c:v>
                </c:pt>
                <c:pt idx="39">
                  <c:v>131.32</c:v>
                </c:pt>
                <c:pt idx="40">
                  <c:v>38.299999999999997</c:v>
                </c:pt>
                <c:pt idx="41">
                  <c:v>45.85</c:v>
                </c:pt>
                <c:pt idx="42">
                  <c:v>62.59</c:v>
                </c:pt>
                <c:pt idx="43">
                  <c:v>77.56</c:v>
                </c:pt>
                <c:pt idx="44">
                  <c:v>91.11</c:v>
                </c:pt>
                <c:pt idx="45">
                  <c:v>104.54</c:v>
                </c:pt>
                <c:pt idx="46">
                  <c:v>116.27</c:v>
                </c:pt>
                <c:pt idx="47">
                  <c:v>130.87</c:v>
                </c:pt>
                <c:pt idx="48">
                  <c:v>139.31</c:v>
                </c:pt>
                <c:pt idx="49">
                  <c:v>147.97</c:v>
                </c:pt>
                <c:pt idx="50">
                  <c:v>157.1</c:v>
                </c:pt>
                <c:pt idx="51">
                  <c:v>168.43</c:v>
                </c:pt>
                <c:pt idx="52">
                  <c:v>184.36</c:v>
                </c:pt>
                <c:pt idx="53">
                  <c:v>206.41</c:v>
                </c:pt>
                <c:pt idx="54">
                  <c:v>223.28</c:v>
                </c:pt>
                <c:pt idx="55">
                  <c:v>246.82</c:v>
                </c:pt>
                <c:pt idx="56">
                  <c:v>282.42</c:v>
                </c:pt>
                <c:pt idx="57">
                  <c:v>315.79000000000002</c:v>
                </c:pt>
                <c:pt idx="58">
                  <c:v>373.58</c:v>
                </c:pt>
                <c:pt idx="59">
                  <c:v>501.45</c:v>
                </c:pt>
                <c:pt idx="60">
                  <c:v>15.44</c:v>
                </c:pt>
                <c:pt idx="61">
                  <c:v>17.399999999999999</c:v>
                </c:pt>
                <c:pt idx="62">
                  <c:v>21.06</c:v>
                </c:pt>
                <c:pt idx="63">
                  <c:v>24.22</c:v>
                </c:pt>
                <c:pt idx="64">
                  <c:v>26.84</c:v>
                </c:pt>
                <c:pt idx="65">
                  <c:v>29.41</c:v>
                </c:pt>
                <c:pt idx="66">
                  <c:v>31.93</c:v>
                </c:pt>
                <c:pt idx="67">
                  <c:v>33.74</c:v>
                </c:pt>
                <c:pt idx="68">
                  <c:v>35.28</c:v>
                </c:pt>
                <c:pt idx="69">
                  <c:v>36.89</c:v>
                </c:pt>
                <c:pt idx="70">
                  <c:v>38.369999999999997</c:v>
                </c:pt>
                <c:pt idx="71">
                  <c:v>40.159999999999997</c:v>
                </c:pt>
                <c:pt idx="72">
                  <c:v>42.19</c:v>
                </c:pt>
                <c:pt idx="73">
                  <c:v>44.55</c:v>
                </c:pt>
                <c:pt idx="74">
                  <c:v>47.72</c:v>
                </c:pt>
                <c:pt idx="75">
                  <c:v>50.85</c:v>
                </c:pt>
                <c:pt idx="76">
                  <c:v>54.43</c:v>
                </c:pt>
                <c:pt idx="77">
                  <c:v>58.84</c:v>
                </c:pt>
                <c:pt idx="78">
                  <c:v>67.650000000000006</c:v>
                </c:pt>
                <c:pt idx="79">
                  <c:v>83.53</c:v>
                </c:pt>
              </c:numCache>
            </c:numRef>
          </c:xVal>
          <c:yVal>
            <c:numRef>
              <c:f>('Run 1 (Ty)'!$D$2:$D$21,'Run 1 (Ty)'!$D$42:$D$61,'Run 1 (Ty)'!$D$102:$D$121,'Run 1 (Ty)'!$D$182:$D$201)</c:f>
              <c:numCache>
                <c:formatCode>General</c:formatCode>
                <c:ptCount val="80"/>
                <c:pt idx="0">
                  <c:v>143.44999999999999</c:v>
                </c:pt>
                <c:pt idx="1">
                  <c:v>149.47</c:v>
                </c:pt>
                <c:pt idx="2">
                  <c:v>166.19</c:v>
                </c:pt>
                <c:pt idx="3">
                  <c:v>183.66</c:v>
                </c:pt>
                <c:pt idx="4">
                  <c:v>201.01</c:v>
                </c:pt>
                <c:pt idx="5">
                  <c:v>218.53</c:v>
                </c:pt>
                <c:pt idx="6">
                  <c:v>235.49</c:v>
                </c:pt>
                <c:pt idx="7">
                  <c:v>252.07</c:v>
                </c:pt>
                <c:pt idx="8">
                  <c:v>266.63</c:v>
                </c:pt>
                <c:pt idx="9">
                  <c:v>284.75</c:v>
                </c:pt>
                <c:pt idx="10">
                  <c:v>299.54000000000002</c:v>
                </c:pt>
                <c:pt idx="11">
                  <c:v>315.70999999999998</c:v>
                </c:pt>
                <c:pt idx="12">
                  <c:v>336.05</c:v>
                </c:pt>
                <c:pt idx="13">
                  <c:v>365.98</c:v>
                </c:pt>
                <c:pt idx="14">
                  <c:v>399.86</c:v>
                </c:pt>
                <c:pt idx="15">
                  <c:v>442.34</c:v>
                </c:pt>
                <c:pt idx="16">
                  <c:v>512.20000000000005</c:v>
                </c:pt>
                <c:pt idx="17">
                  <c:v>612</c:v>
                </c:pt>
                <c:pt idx="18">
                  <c:v>805.23</c:v>
                </c:pt>
                <c:pt idx="19">
                  <c:v>1253.42</c:v>
                </c:pt>
                <c:pt idx="20">
                  <c:v>25.47</c:v>
                </c:pt>
                <c:pt idx="21">
                  <c:v>29.1</c:v>
                </c:pt>
                <c:pt idx="22">
                  <c:v>35.89</c:v>
                </c:pt>
                <c:pt idx="23">
                  <c:v>42.39</c:v>
                </c:pt>
                <c:pt idx="24">
                  <c:v>48.9</c:v>
                </c:pt>
                <c:pt idx="25">
                  <c:v>54.54</c:v>
                </c:pt>
                <c:pt idx="26">
                  <c:v>58.88</c:v>
                </c:pt>
                <c:pt idx="27">
                  <c:v>65.540000000000006</c:v>
                </c:pt>
                <c:pt idx="28">
                  <c:v>70.03</c:v>
                </c:pt>
                <c:pt idx="29">
                  <c:v>73.489999999999995</c:v>
                </c:pt>
                <c:pt idx="30">
                  <c:v>75.680000000000007</c:v>
                </c:pt>
                <c:pt idx="31">
                  <c:v>78.27</c:v>
                </c:pt>
                <c:pt idx="32">
                  <c:v>87.8</c:v>
                </c:pt>
                <c:pt idx="33">
                  <c:v>95.25</c:v>
                </c:pt>
                <c:pt idx="34">
                  <c:v>98.96</c:v>
                </c:pt>
                <c:pt idx="35">
                  <c:v>103.52</c:v>
                </c:pt>
                <c:pt idx="36">
                  <c:v>111.51</c:v>
                </c:pt>
                <c:pt idx="37">
                  <c:v>119.77</c:v>
                </c:pt>
                <c:pt idx="38">
                  <c:v>144.38</c:v>
                </c:pt>
                <c:pt idx="39">
                  <c:v>190.78</c:v>
                </c:pt>
                <c:pt idx="40">
                  <c:v>78.099999999999994</c:v>
                </c:pt>
                <c:pt idx="41">
                  <c:v>88.73</c:v>
                </c:pt>
                <c:pt idx="42">
                  <c:v>110.72</c:v>
                </c:pt>
                <c:pt idx="43">
                  <c:v>131.22999999999999</c:v>
                </c:pt>
                <c:pt idx="44">
                  <c:v>151.69999999999999</c:v>
                </c:pt>
                <c:pt idx="45">
                  <c:v>173.04</c:v>
                </c:pt>
                <c:pt idx="46">
                  <c:v>187.9</c:v>
                </c:pt>
                <c:pt idx="47">
                  <c:v>204.63</c:v>
                </c:pt>
                <c:pt idx="48">
                  <c:v>216.66</c:v>
                </c:pt>
                <c:pt idx="49">
                  <c:v>231.99</c:v>
                </c:pt>
                <c:pt idx="50">
                  <c:v>243.02</c:v>
                </c:pt>
                <c:pt idx="51">
                  <c:v>256.2</c:v>
                </c:pt>
                <c:pt idx="52">
                  <c:v>275.08999999999997</c:v>
                </c:pt>
                <c:pt idx="53">
                  <c:v>300.38</c:v>
                </c:pt>
                <c:pt idx="54">
                  <c:v>318.26</c:v>
                </c:pt>
                <c:pt idx="55">
                  <c:v>342.5</c:v>
                </c:pt>
                <c:pt idx="56">
                  <c:v>381.95</c:v>
                </c:pt>
                <c:pt idx="57">
                  <c:v>419.71</c:v>
                </c:pt>
                <c:pt idx="58">
                  <c:v>485.13</c:v>
                </c:pt>
                <c:pt idx="59">
                  <c:v>639.75</c:v>
                </c:pt>
                <c:pt idx="60">
                  <c:v>28.69</c:v>
                </c:pt>
                <c:pt idx="61">
                  <c:v>31.22</c:v>
                </c:pt>
                <c:pt idx="62">
                  <c:v>35.69</c:v>
                </c:pt>
                <c:pt idx="63">
                  <c:v>39.75</c:v>
                </c:pt>
                <c:pt idx="64">
                  <c:v>42.86</c:v>
                </c:pt>
                <c:pt idx="65">
                  <c:v>46.03</c:v>
                </c:pt>
                <c:pt idx="66">
                  <c:v>48.81</c:v>
                </c:pt>
                <c:pt idx="67">
                  <c:v>51</c:v>
                </c:pt>
                <c:pt idx="68">
                  <c:v>53.18</c:v>
                </c:pt>
                <c:pt idx="69">
                  <c:v>55.18</c:v>
                </c:pt>
                <c:pt idx="70">
                  <c:v>56.89</c:v>
                </c:pt>
                <c:pt idx="71">
                  <c:v>59.11</c:v>
                </c:pt>
                <c:pt idx="72">
                  <c:v>61.68</c:v>
                </c:pt>
                <c:pt idx="73">
                  <c:v>64.81</c:v>
                </c:pt>
                <c:pt idx="74">
                  <c:v>68.62</c:v>
                </c:pt>
                <c:pt idx="75">
                  <c:v>72.86</c:v>
                </c:pt>
                <c:pt idx="76">
                  <c:v>77.930000000000007</c:v>
                </c:pt>
                <c:pt idx="77">
                  <c:v>84.59</c:v>
                </c:pt>
                <c:pt idx="78">
                  <c:v>98.49</c:v>
                </c:pt>
                <c:pt idx="79">
                  <c:v>125.98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F-43E7-AF9E-DC9031331476}"/>
            </c:ext>
          </c:extLst>
        </c:ser>
        <c:ser>
          <c:idx val="2"/>
          <c:order val="1"/>
          <c:tx>
            <c:v>Lossless Origin</c:v>
          </c:tx>
          <c:spPr>
            <a:ln w="38100">
              <a:noFill/>
            </a:ln>
          </c:spPr>
          <c:xVal>
            <c:numRef>
              <c:f>('Run 1 (Ty)'!$E$22:$E$41,'Run 1 (Ty)'!$E$62:$E$81,'Run 1 (Ty)'!$E$82:$E$101,'Run 1 (Ty)'!$E$122:$E$141,'Run 1 (Ty)'!$E$142:$E$181,'Run 1 (Ty)'!$E$202:$E$241)</c:f>
              <c:numCache>
                <c:formatCode>General</c:formatCode>
                <c:ptCount val="16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  <c:pt idx="20">
                  <c:v>18.05</c:v>
                </c:pt>
                <c:pt idx="21">
                  <c:v>23.29</c:v>
                </c:pt>
                <c:pt idx="22">
                  <c:v>33.61</c:v>
                </c:pt>
                <c:pt idx="23">
                  <c:v>42.91</c:v>
                </c:pt>
                <c:pt idx="24">
                  <c:v>51.68</c:v>
                </c:pt>
                <c:pt idx="25">
                  <c:v>60.12</c:v>
                </c:pt>
                <c:pt idx="26">
                  <c:v>68</c:v>
                </c:pt>
                <c:pt idx="27">
                  <c:v>75.739999999999995</c:v>
                </c:pt>
                <c:pt idx="28">
                  <c:v>82.03</c:v>
                </c:pt>
                <c:pt idx="29">
                  <c:v>89.41</c:v>
                </c:pt>
                <c:pt idx="30">
                  <c:v>95.8</c:v>
                </c:pt>
                <c:pt idx="31">
                  <c:v>102.55</c:v>
                </c:pt>
                <c:pt idx="32">
                  <c:v>111.36</c:v>
                </c:pt>
                <c:pt idx="33">
                  <c:v>122.44</c:v>
                </c:pt>
                <c:pt idx="34">
                  <c:v>136.63999999999999</c:v>
                </c:pt>
                <c:pt idx="35">
                  <c:v>153.69</c:v>
                </c:pt>
                <c:pt idx="36">
                  <c:v>180.18</c:v>
                </c:pt>
                <c:pt idx="37">
                  <c:v>216.72</c:v>
                </c:pt>
                <c:pt idx="38">
                  <c:v>278.12</c:v>
                </c:pt>
                <c:pt idx="39">
                  <c:v>400.27</c:v>
                </c:pt>
                <c:pt idx="40">
                  <c:v>29.48</c:v>
                </c:pt>
                <c:pt idx="41">
                  <c:v>38.08</c:v>
                </c:pt>
                <c:pt idx="42">
                  <c:v>55.05</c:v>
                </c:pt>
                <c:pt idx="43">
                  <c:v>69.38</c:v>
                </c:pt>
                <c:pt idx="44">
                  <c:v>82.16</c:v>
                </c:pt>
                <c:pt idx="45">
                  <c:v>93.72</c:v>
                </c:pt>
                <c:pt idx="46">
                  <c:v>104.3</c:v>
                </c:pt>
                <c:pt idx="47">
                  <c:v>114.69</c:v>
                </c:pt>
                <c:pt idx="48">
                  <c:v>122.64</c:v>
                </c:pt>
                <c:pt idx="49">
                  <c:v>131.59</c:v>
                </c:pt>
                <c:pt idx="50">
                  <c:v>139.16999999999999</c:v>
                </c:pt>
                <c:pt idx="51">
                  <c:v>147.19999999999999</c:v>
                </c:pt>
                <c:pt idx="52">
                  <c:v>157.18</c:v>
                </c:pt>
                <c:pt idx="53">
                  <c:v>169.39</c:v>
                </c:pt>
                <c:pt idx="54">
                  <c:v>184.4</c:v>
                </c:pt>
                <c:pt idx="55">
                  <c:v>201.78</c:v>
                </c:pt>
                <c:pt idx="56">
                  <c:v>229.03</c:v>
                </c:pt>
                <c:pt idx="57">
                  <c:v>266.33</c:v>
                </c:pt>
                <c:pt idx="58">
                  <c:v>330.88</c:v>
                </c:pt>
                <c:pt idx="59">
                  <c:v>468.31</c:v>
                </c:pt>
                <c:pt idx="60">
                  <c:v>26.94</c:v>
                </c:pt>
                <c:pt idx="61">
                  <c:v>31.61</c:v>
                </c:pt>
                <c:pt idx="62">
                  <c:v>41.29</c:v>
                </c:pt>
                <c:pt idx="63">
                  <c:v>49.95</c:v>
                </c:pt>
                <c:pt idx="64">
                  <c:v>57.37</c:v>
                </c:pt>
                <c:pt idx="65">
                  <c:v>64.52</c:v>
                </c:pt>
                <c:pt idx="66">
                  <c:v>71.27</c:v>
                </c:pt>
                <c:pt idx="67">
                  <c:v>77.77</c:v>
                </c:pt>
                <c:pt idx="68">
                  <c:v>83.19</c:v>
                </c:pt>
                <c:pt idx="69">
                  <c:v>89.73</c:v>
                </c:pt>
                <c:pt idx="70">
                  <c:v>95.19</c:v>
                </c:pt>
                <c:pt idx="71">
                  <c:v>100.84</c:v>
                </c:pt>
                <c:pt idx="72">
                  <c:v>108.14</c:v>
                </c:pt>
                <c:pt idx="73">
                  <c:v>117.37</c:v>
                </c:pt>
                <c:pt idx="74">
                  <c:v>128.47999999999999</c:v>
                </c:pt>
                <c:pt idx="75">
                  <c:v>141.32</c:v>
                </c:pt>
                <c:pt idx="76">
                  <c:v>162.26</c:v>
                </c:pt>
                <c:pt idx="77">
                  <c:v>192.6</c:v>
                </c:pt>
                <c:pt idx="78">
                  <c:v>249.98</c:v>
                </c:pt>
                <c:pt idx="79">
                  <c:v>387.51</c:v>
                </c:pt>
                <c:pt idx="80">
                  <c:v>36.19</c:v>
                </c:pt>
                <c:pt idx="81">
                  <c:v>45.39</c:v>
                </c:pt>
                <c:pt idx="82">
                  <c:v>64.489999999999995</c:v>
                </c:pt>
                <c:pt idx="83">
                  <c:v>81.680000000000007</c:v>
                </c:pt>
                <c:pt idx="84">
                  <c:v>96.32</c:v>
                </c:pt>
                <c:pt idx="85">
                  <c:v>110.28</c:v>
                </c:pt>
                <c:pt idx="86">
                  <c:v>124.53</c:v>
                </c:pt>
                <c:pt idx="87">
                  <c:v>138.04</c:v>
                </c:pt>
                <c:pt idx="88">
                  <c:v>147.74</c:v>
                </c:pt>
                <c:pt idx="89">
                  <c:v>157.84</c:v>
                </c:pt>
                <c:pt idx="90">
                  <c:v>166.54</c:v>
                </c:pt>
                <c:pt idx="91">
                  <c:v>175.46</c:v>
                </c:pt>
                <c:pt idx="92">
                  <c:v>186.16</c:v>
                </c:pt>
                <c:pt idx="93">
                  <c:v>198.75</c:v>
                </c:pt>
                <c:pt idx="94">
                  <c:v>213.48</c:v>
                </c:pt>
                <c:pt idx="95">
                  <c:v>231.12</c:v>
                </c:pt>
                <c:pt idx="96">
                  <c:v>255.74</c:v>
                </c:pt>
                <c:pt idx="97">
                  <c:v>288.26</c:v>
                </c:pt>
                <c:pt idx="98">
                  <c:v>348.47</c:v>
                </c:pt>
                <c:pt idx="99">
                  <c:v>475.67</c:v>
                </c:pt>
                <c:pt idx="100">
                  <c:v>36.9</c:v>
                </c:pt>
                <c:pt idx="101">
                  <c:v>47.71</c:v>
                </c:pt>
                <c:pt idx="102">
                  <c:v>67.709999999999994</c:v>
                </c:pt>
                <c:pt idx="103">
                  <c:v>84.85</c:v>
                </c:pt>
                <c:pt idx="104">
                  <c:v>100.18</c:v>
                </c:pt>
                <c:pt idx="105">
                  <c:v>114.64</c:v>
                </c:pt>
                <c:pt idx="106">
                  <c:v>128.78</c:v>
                </c:pt>
                <c:pt idx="107">
                  <c:v>141.97999999999999</c:v>
                </c:pt>
                <c:pt idx="108">
                  <c:v>152.55000000000001</c:v>
                </c:pt>
                <c:pt idx="109">
                  <c:v>164.12</c:v>
                </c:pt>
                <c:pt idx="110">
                  <c:v>174.43</c:v>
                </c:pt>
                <c:pt idx="111">
                  <c:v>185.6</c:v>
                </c:pt>
                <c:pt idx="112">
                  <c:v>198.75</c:v>
                </c:pt>
                <c:pt idx="113">
                  <c:v>215.59</c:v>
                </c:pt>
                <c:pt idx="114">
                  <c:v>235.66</c:v>
                </c:pt>
                <c:pt idx="115">
                  <c:v>259.02999999999997</c:v>
                </c:pt>
                <c:pt idx="116">
                  <c:v>294.44</c:v>
                </c:pt>
                <c:pt idx="117">
                  <c:v>342.63</c:v>
                </c:pt>
                <c:pt idx="118">
                  <c:v>426.35</c:v>
                </c:pt>
                <c:pt idx="119">
                  <c:v>603.79</c:v>
                </c:pt>
                <c:pt idx="120">
                  <c:v>97</c:v>
                </c:pt>
                <c:pt idx="121">
                  <c:v>123.57</c:v>
                </c:pt>
                <c:pt idx="122">
                  <c:v>178.4</c:v>
                </c:pt>
                <c:pt idx="123">
                  <c:v>221.13</c:v>
                </c:pt>
                <c:pt idx="124">
                  <c:v>258.18</c:v>
                </c:pt>
                <c:pt idx="125">
                  <c:v>294.3</c:v>
                </c:pt>
                <c:pt idx="126">
                  <c:v>326.39999999999998</c:v>
                </c:pt>
                <c:pt idx="127">
                  <c:v>379.33</c:v>
                </c:pt>
                <c:pt idx="128">
                  <c:v>396.7</c:v>
                </c:pt>
                <c:pt idx="129">
                  <c:v>412</c:v>
                </c:pt>
                <c:pt idx="130">
                  <c:v>428.34</c:v>
                </c:pt>
                <c:pt idx="131">
                  <c:v>451.68</c:v>
                </c:pt>
                <c:pt idx="132">
                  <c:v>614.88</c:v>
                </c:pt>
                <c:pt idx="133">
                  <c:v>720.99</c:v>
                </c:pt>
                <c:pt idx="134">
                  <c:v>759.79</c:v>
                </c:pt>
                <c:pt idx="135">
                  <c:v>803.81</c:v>
                </c:pt>
                <c:pt idx="136">
                  <c:v>855.83</c:v>
                </c:pt>
                <c:pt idx="137">
                  <c:v>935.07</c:v>
                </c:pt>
                <c:pt idx="138">
                  <c:v>1201.25</c:v>
                </c:pt>
                <c:pt idx="139">
                  <c:v>1583.61</c:v>
                </c:pt>
                <c:pt idx="140">
                  <c:v>80.63</c:v>
                </c:pt>
                <c:pt idx="141">
                  <c:v>83.7</c:v>
                </c:pt>
                <c:pt idx="142">
                  <c:v>90.95</c:v>
                </c:pt>
                <c:pt idx="143">
                  <c:v>97.94</c:v>
                </c:pt>
                <c:pt idx="144">
                  <c:v>107.17</c:v>
                </c:pt>
                <c:pt idx="145">
                  <c:v>116.69</c:v>
                </c:pt>
                <c:pt idx="146">
                  <c:v>136.57</c:v>
                </c:pt>
                <c:pt idx="147">
                  <c:v>169.46</c:v>
                </c:pt>
                <c:pt idx="148">
                  <c:v>174.5</c:v>
                </c:pt>
                <c:pt idx="149">
                  <c:v>177.78</c:v>
                </c:pt>
                <c:pt idx="150">
                  <c:v>181.53</c:v>
                </c:pt>
                <c:pt idx="151">
                  <c:v>197.41</c:v>
                </c:pt>
                <c:pt idx="152">
                  <c:v>411.47</c:v>
                </c:pt>
                <c:pt idx="153">
                  <c:v>496.21</c:v>
                </c:pt>
                <c:pt idx="154">
                  <c:v>507.11</c:v>
                </c:pt>
                <c:pt idx="155">
                  <c:v>526.52</c:v>
                </c:pt>
                <c:pt idx="156">
                  <c:v>547.5</c:v>
                </c:pt>
                <c:pt idx="157">
                  <c:v>590.63</c:v>
                </c:pt>
                <c:pt idx="158">
                  <c:v>798.17</c:v>
                </c:pt>
                <c:pt idx="159">
                  <c:v>1053.76</c:v>
                </c:pt>
              </c:numCache>
            </c:numRef>
          </c:xVal>
          <c:yVal>
            <c:numRef>
              <c:f>('Run 1 (Ty)'!$D$22:$D$41,'Run 1 (Ty)'!$D$62:$D$81,'Run 1 (Ty)'!$D$82:$D$101,'Run 1 (Ty)'!$D$122:$D$141,'Run 1 (Ty)'!$D$142:$D$181,'Run 1 (Ty)'!$D$202:$D$241)</c:f>
              <c:numCache>
                <c:formatCode>General</c:formatCode>
                <c:ptCount val="160"/>
                <c:pt idx="0">
                  <c:v>14.7</c:v>
                </c:pt>
                <c:pt idx="1">
                  <c:v>16.18</c:v>
                </c:pt>
                <c:pt idx="2">
                  <c:v>20.7</c:v>
                </c:pt>
                <c:pt idx="3">
                  <c:v>24.79</c:v>
                </c:pt>
                <c:pt idx="4">
                  <c:v>28.77</c:v>
                </c:pt>
                <c:pt idx="5">
                  <c:v>32.42</c:v>
                </c:pt>
                <c:pt idx="6">
                  <c:v>35.659999999999997</c:v>
                </c:pt>
                <c:pt idx="7">
                  <c:v>38.74</c:v>
                </c:pt>
                <c:pt idx="8">
                  <c:v>41.25</c:v>
                </c:pt>
                <c:pt idx="9">
                  <c:v>44.26</c:v>
                </c:pt>
                <c:pt idx="10">
                  <c:v>46.83</c:v>
                </c:pt>
                <c:pt idx="11">
                  <c:v>49.43</c:v>
                </c:pt>
                <c:pt idx="12">
                  <c:v>52.81</c:v>
                </c:pt>
                <c:pt idx="13">
                  <c:v>57.18</c:v>
                </c:pt>
                <c:pt idx="14">
                  <c:v>62.01</c:v>
                </c:pt>
                <c:pt idx="15">
                  <c:v>67.72</c:v>
                </c:pt>
                <c:pt idx="16">
                  <c:v>76.569999999999993</c:v>
                </c:pt>
                <c:pt idx="17">
                  <c:v>88.74</c:v>
                </c:pt>
                <c:pt idx="18">
                  <c:v>110.27</c:v>
                </c:pt>
                <c:pt idx="19">
                  <c:v>157.13999999999999</c:v>
                </c:pt>
                <c:pt idx="20">
                  <c:v>33.61</c:v>
                </c:pt>
                <c:pt idx="21">
                  <c:v>39.24</c:v>
                </c:pt>
                <c:pt idx="22">
                  <c:v>50.87</c:v>
                </c:pt>
                <c:pt idx="23">
                  <c:v>61.86</c:v>
                </c:pt>
                <c:pt idx="24">
                  <c:v>73.78</c:v>
                </c:pt>
                <c:pt idx="25">
                  <c:v>85.85</c:v>
                </c:pt>
                <c:pt idx="26">
                  <c:v>97.58</c:v>
                </c:pt>
                <c:pt idx="27">
                  <c:v>109.39</c:v>
                </c:pt>
                <c:pt idx="28">
                  <c:v>119.5</c:v>
                </c:pt>
                <c:pt idx="29">
                  <c:v>131.49</c:v>
                </c:pt>
                <c:pt idx="30">
                  <c:v>142.1</c:v>
                </c:pt>
                <c:pt idx="31">
                  <c:v>153.31</c:v>
                </c:pt>
                <c:pt idx="32">
                  <c:v>168.07</c:v>
                </c:pt>
                <c:pt idx="33">
                  <c:v>187.11</c:v>
                </c:pt>
                <c:pt idx="34">
                  <c:v>211.69</c:v>
                </c:pt>
                <c:pt idx="35">
                  <c:v>241.11</c:v>
                </c:pt>
                <c:pt idx="36">
                  <c:v>288.60000000000002</c:v>
                </c:pt>
                <c:pt idx="37">
                  <c:v>357.13</c:v>
                </c:pt>
                <c:pt idx="38">
                  <c:v>477.03</c:v>
                </c:pt>
                <c:pt idx="39">
                  <c:v>721.28</c:v>
                </c:pt>
                <c:pt idx="40">
                  <c:v>56.49</c:v>
                </c:pt>
                <c:pt idx="41">
                  <c:v>67.41</c:v>
                </c:pt>
                <c:pt idx="42">
                  <c:v>89.88</c:v>
                </c:pt>
                <c:pt idx="43">
                  <c:v>109.95</c:v>
                </c:pt>
                <c:pt idx="44">
                  <c:v>128.11000000000001</c:v>
                </c:pt>
                <c:pt idx="45">
                  <c:v>144.63999999999999</c:v>
                </c:pt>
                <c:pt idx="46">
                  <c:v>159.84</c:v>
                </c:pt>
                <c:pt idx="47">
                  <c:v>174.68</c:v>
                </c:pt>
                <c:pt idx="48">
                  <c:v>186.7</c:v>
                </c:pt>
                <c:pt idx="49">
                  <c:v>200.51</c:v>
                </c:pt>
                <c:pt idx="50">
                  <c:v>211.91</c:v>
                </c:pt>
                <c:pt idx="51">
                  <c:v>223.78</c:v>
                </c:pt>
                <c:pt idx="52">
                  <c:v>238.84</c:v>
                </c:pt>
                <c:pt idx="53">
                  <c:v>257.83</c:v>
                </c:pt>
                <c:pt idx="54">
                  <c:v>280.25</c:v>
                </c:pt>
                <c:pt idx="55">
                  <c:v>306</c:v>
                </c:pt>
                <c:pt idx="56">
                  <c:v>346.67</c:v>
                </c:pt>
                <c:pt idx="57">
                  <c:v>402.15</c:v>
                </c:pt>
                <c:pt idx="58">
                  <c:v>501.62</c:v>
                </c:pt>
                <c:pt idx="59">
                  <c:v>714.34</c:v>
                </c:pt>
                <c:pt idx="60">
                  <c:v>54.83</c:v>
                </c:pt>
                <c:pt idx="61">
                  <c:v>61.13</c:v>
                </c:pt>
                <c:pt idx="62">
                  <c:v>73.52</c:v>
                </c:pt>
                <c:pt idx="63">
                  <c:v>84.73</c:v>
                </c:pt>
                <c:pt idx="64">
                  <c:v>94.64</c:v>
                </c:pt>
                <c:pt idx="65">
                  <c:v>104.55</c:v>
                </c:pt>
                <c:pt idx="66">
                  <c:v>113.74</c:v>
                </c:pt>
                <c:pt idx="67">
                  <c:v>122.57</c:v>
                </c:pt>
                <c:pt idx="68">
                  <c:v>130.38</c:v>
                </c:pt>
                <c:pt idx="69">
                  <c:v>139.66</c:v>
                </c:pt>
                <c:pt idx="70">
                  <c:v>147.34</c:v>
                </c:pt>
                <c:pt idx="71">
                  <c:v>155.44999999999999</c:v>
                </c:pt>
                <c:pt idx="72">
                  <c:v>165.84</c:v>
                </c:pt>
                <c:pt idx="73">
                  <c:v>180.97</c:v>
                </c:pt>
                <c:pt idx="74">
                  <c:v>198.23</c:v>
                </c:pt>
                <c:pt idx="75">
                  <c:v>219.19</c:v>
                </c:pt>
                <c:pt idx="76">
                  <c:v>254.75</c:v>
                </c:pt>
                <c:pt idx="77">
                  <c:v>308.55</c:v>
                </c:pt>
                <c:pt idx="78">
                  <c:v>419.9</c:v>
                </c:pt>
                <c:pt idx="79">
                  <c:v>694.57</c:v>
                </c:pt>
                <c:pt idx="80">
                  <c:v>66.33</c:v>
                </c:pt>
                <c:pt idx="81">
                  <c:v>78.61</c:v>
                </c:pt>
                <c:pt idx="82">
                  <c:v>104.62</c:v>
                </c:pt>
                <c:pt idx="83">
                  <c:v>127.76</c:v>
                </c:pt>
                <c:pt idx="84">
                  <c:v>147.83000000000001</c:v>
                </c:pt>
                <c:pt idx="85">
                  <c:v>167.2</c:v>
                </c:pt>
                <c:pt idx="86">
                  <c:v>185.61</c:v>
                </c:pt>
                <c:pt idx="87">
                  <c:v>203.22</c:v>
                </c:pt>
                <c:pt idx="88">
                  <c:v>216.95</c:v>
                </c:pt>
                <c:pt idx="89">
                  <c:v>232.04</c:v>
                </c:pt>
                <c:pt idx="90">
                  <c:v>244.99</c:v>
                </c:pt>
                <c:pt idx="91">
                  <c:v>258.57</c:v>
                </c:pt>
                <c:pt idx="92">
                  <c:v>275.42</c:v>
                </c:pt>
                <c:pt idx="93">
                  <c:v>296.8</c:v>
                </c:pt>
                <c:pt idx="94">
                  <c:v>321</c:v>
                </c:pt>
                <c:pt idx="95">
                  <c:v>349.3</c:v>
                </c:pt>
                <c:pt idx="96">
                  <c:v>392.49</c:v>
                </c:pt>
                <c:pt idx="97">
                  <c:v>452.93</c:v>
                </c:pt>
                <c:pt idx="98">
                  <c:v>567.84</c:v>
                </c:pt>
                <c:pt idx="99">
                  <c:v>813.38</c:v>
                </c:pt>
                <c:pt idx="100">
                  <c:v>66.75</c:v>
                </c:pt>
                <c:pt idx="101">
                  <c:v>80.760000000000005</c:v>
                </c:pt>
                <c:pt idx="102">
                  <c:v>107.9</c:v>
                </c:pt>
                <c:pt idx="103">
                  <c:v>132.01</c:v>
                </c:pt>
                <c:pt idx="104">
                  <c:v>154.22</c:v>
                </c:pt>
                <c:pt idx="105">
                  <c:v>174.97</c:v>
                </c:pt>
                <c:pt idx="106">
                  <c:v>194.64</c:v>
                </c:pt>
                <c:pt idx="107">
                  <c:v>213.26</c:v>
                </c:pt>
                <c:pt idx="108">
                  <c:v>228.69</c:v>
                </c:pt>
                <c:pt idx="109">
                  <c:v>245.85</c:v>
                </c:pt>
                <c:pt idx="110">
                  <c:v>261.41000000000003</c:v>
                </c:pt>
                <c:pt idx="111">
                  <c:v>277.49</c:v>
                </c:pt>
                <c:pt idx="112">
                  <c:v>297.48</c:v>
                </c:pt>
                <c:pt idx="113">
                  <c:v>322.77</c:v>
                </c:pt>
                <c:pt idx="114">
                  <c:v>351.82</c:v>
                </c:pt>
                <c:pt idx="115">
                  <c:v>385.83</c:v>
                </c:pt>
                <c:pt idx="116">
                  <c:v>439.3</c:v>
                </c:pt>
                <c:pt idx="117">
                  <c:v>512.41999999999996</c:v>
                </c:pt>
                <c:pt idx="118">
                  <c:v>643.14</c:v>
                </c:pt>
                <c:pt idx="119">
                  <c:v>924.01</c:v>
                </c:pt>
                <c:pt idx="120">
                  <c:v>194.99</c:v>
                </c:pt>
                <c:pt idx="121">
                  <c:v>226.82</c:v>
                </c:pt>
                <c:pt idx="122">
                  <c:v>294.11</c:v>
                </c:pt>
                <c:pt idx="123">
                  <c:v>350.67</c:v>
                </c:pt>
                <c:pt idx="124">
                  <c:v>403.39</c:v>
                </c:pt>
                <c:pt idx="125">
                  <c:v>454.59</c:v>
                </c:pt>
                <c:pt idx="126">
                  <c:v>494.4</c:v>
                </c:pt>
                <c:pt idx="127">
                  <c:v>558.38</c:v>
                </c:pt>
                <c:pt idx="128">
                  <c:v>585.75</c:v>
                </c:pt>
                <c:pt idx="129">
                  <c:v>617.01</c:v>
                </c:pt>
                <c:pt idx="130">
                  <c:v>640.16</c:v>
                </c:pt>
                <c:pt idx="131">
                  <c:v>666.12</c:v>
                </c:pt>
                <c:pt idx="132">
                  <c:v>828.51</c:v>
                </c:pt>
                <c:pt idx="133">
                  <c:v>953.63</c:v>
                </c:pt>
                <c:pt idx="134">
                  <c:v>1003.66</c:v>
                </c:pt>
                <c:pt idx="135">
                  <c:v>1061.47</c:v>
                </c:pt>
                <c:pt idx="136">
                  <c:v>1140.4000000000001</c:v>
                </c:pt>
                <c:pt idx="137">
                  <c:v>1249.95</c:v>
                </c:pt>
                <c:pt idx="138">
                  <c:v>1593.93</c:v>
                </c:pt>
                <c:pt idx="139">
                  <c:v>2207.9899999999998</c:v>
                </c:pt>
                <c:pt idx="140">
                  <c:v>176.36</c:v>
                </c:pt>
                <c:pt idx="141">
                  <c:v>182.23</c:v>
                </c:pt>
                <c:pt idx="142">
                  <c:v>189.78</c:v>
                </c:pt>
                <c:pt idx="143">
                  <c:v>202.35</c:v>
                </c:pt>
                <c:pt idx="144">
                  <c:v>214.17</c:v>
                </c:pt>
                <c:pt idx="145">
                  <c:v>231.17</c:v>
                </c:pt>
                <c:pt idx="146">
                  <c:v>252.85</c:v>
                </c:pt>
                <c:pt idx="147">
                  <c:v>290.70999999999998</c:v>
                </c:pt>
                <c:pt idx="148">
                  <c:v>302.2</c:v>
                </c:pt>
                <c:pt idx="149">
                  <c:v>322.67</c:v>
                </c:pt>
                <c:pt idx="150">
                  <c:v>332.61</c:v>
                </c:pt>
                <c:pt idx="151">
                  <c:v>345.95</c:v>
                </c:pt>
                <c:pt idx="152">
                  <c:v>553.07000000000005</c:v>
                </c:pt>
                <c:pt idx="153">
                  <c:v>653.25</c:v>
                </c:pt>
                <c:pt idx="154">
                  <c:v>669.86</c:v>
                </c:pt>
                <c:pt idx="155">
                  <c:v>694.61</c:v>
                </c:pt>
                <c:pt idx="156">
                  <c:v>728.94</c:v>
                </c:pt>
                <c:pt idx="157">
                  <c:v>785.15</c:v>
                </c:pt>
                <c:pt idx="158">
                  <c:v>1029.1400000000001</c:v>
                </c:pt>
                <c:pt idx="159">
                  <c:v>1415.07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2F-43E7-AF9E-DC9031331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754875395429392"/>
              <c:y val="0.921921669763318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Output Size</a:t>
            </a:r>
            <a:endParaRPr lang="en-CA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77005607136188"/>
          <c:y val="0.12039579559597302"/>
          <c:w val="0.71641062213025775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2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25400">
              <a:noFill/>
            </a:ln>
          </c:spPr>
          <c:xVal>
            <c:numRef>
              <c:f>'Run 2 (Ty)'!$D$2:$D$21</c:f>
              <c:numCache>
                <c:formatCode>General</c:formatCode>
                <c:ptCount val="20"/>
                <c:pt idx="0">
                  <c:v>74.61</c:v>
                </c:pt>
                <c:pt idx="1">
                  <c:v>79.97</c:v>
                </c:pt>
                <c:pt idx="2">
                  <c:v>94.4</c:v>
                </c:pt>
                <c:pt idx="3">
                  <c:v>109.45</c:v>
                </c:pt>
                <c:pt idx="4">
                  <c:v>124.43</c:v>
                </c:pt>
                <c:pt idx="5">
                  <c:v>139.16999999999999</c:v>
                </c:pt>
                <c:pt idx="6">
                  <c:v>153.31</c:v>
                </c:pt>
                <c:pt idx="7">
                  <c:v>166.98</c:v>
                </c:pt>
                <c:pt idx="8">
                  <c:v>178.84</c:v>
                </c:pt>
                <c:pt idx="9">
                  <c:v>193.3</c:v>
                </c:pt>
                <c:pt idx="10">
                  <c:v>205.3</c:v>
                </c:pt>
                <c:pt idx="11">
                  <c:v>218.25</c:v>
                </c:pt>
                <c:pt idx="12">
                  <c:v>234.78</c:v>
                </c:pt>
                <c:pt idx="13">
                  <c:v>258</c:v>
                </c:pt>
                <c:pt idx="14">
                  <c:v>285.07</c:v>
                </c:pt>
                <c:pt idx="15">
                  <c:v>317.8</c:v>
                </c:pt>
                <c:pt idx="16">
                  <c:v>372.19</c:v>
                </c:pt>
                <c:pt idx="17">
                  <c:v>449.55</c:v>
                </c:pt>
                <c:pt idx="18">
                  <c:v>594.48</c:v>
                </c:pt>
                <c:pt idx="19">
                  <c:v>917.14</c:v>
                </c:pt>
              </c:numCache>
            </c:numRef>
          </c:xVal>
          <c:yVal>
            <c:numRef>
              <c:f>'Run 2 (Ty)'!$F$2:$F$21</c:f>
              <c:numCache>
                <c:formatCode>General</c:formatCode>
                <c:ptCount val="20"/>
                <c:pt idx="0">
                  <c:v>5.0050999999999997</c:v>
                </c:pt>
                <c:pt idx="1">
                  <c:v>4.9889000000000001</c:v>
                </c:pt>
                <c:pt idx="2">
                  <c:v>5.0964</c:v>
                </c:pt>
                <c:pt idx="3">
                  <c:v>5.4250999999999996</c:v>
                </c:pt>
                <c:pt idx="4">
                  <c:v>5.3978000000000002</c:v>
                </c:pt>
                <c:pt idx="5">
                  <c:v>5.431</c:v>
                </c:pt>
                <c:pt idx="6">
                  <c:v>5.5503</c:v>
                </c:pt>
                <c:pt idx="7">
                  <c:v>5.5876999999999999</c:v>
                </c:pt>
                <c:pt idx="8">
                  <c:v>5.6307999999999998</c:v>
                </c:pt>
                <c:pt idx="9">
                  <c:v>5.7638999999999996</c:v>
                </c:pt>
                <c:pt idx="10">
                  <c:v>5.8063000000000002</c:v>
                </c:pt>
                <c:pt idx="11">
                  <c:v>5.8784999999999998</c:v>
                </c:pt>
                <c:pt idx="12">
                  <c:v>5.9813000000000001</c:v>
                </c:pt>
                <c:pt idx="13">
                  <c:v>6.0518999999999998</c:v>
                </c:pt>
                <c:pt idx="14">
                  <c:v>6.1664000000000003</c:v>
                </c:pt>
                <c:pt idx="15">
                  <c:v>6.3181000000000003</c:v>
                </c:pt>
                <c:pt idx="16">
                  <c:v>6.6096000000000004</c:v>
                </c:pt>
                <c:pt idx="17">
                  <c:v>6.9878999999999998</c:v>
                </c:pt>
                <c:pt idx="18">
                  <c:v>7.5930999999999997</c:v>
                </c:pt>
                <c:pt idx="19">
                  <c:v>8.8771000000000004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8-43FE-ACFF-F7E0A7408C80}"/>
            </c:ext>
          </c:extLst>
        </c:ser>
        <c:ser>
          <c:idx val="2"/>
          <c:order val="1"/>
          <c:tx>
            <c:strRef>
              <c:f>'Run 2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(Ty)'!$D$22:$D$41</c:f>
              <c:numCache>
                <c:formatCode>General</c:formatCode>
                <c:ptCount val="20"/>
                <c:pt idx="0">
                  <c:v>8.31</c:v>
                </c:pt>
                <c:pt idx="1">
                  <c:v>9.69</c:v>
                </c:pt>
                <c:pt idx="2">
                  <c:v>14.1</c:v>
                </c:pt>
                <c:pt idx="3">
                  <c:v>17.96</c:v>
                </c:pt>
                <c:pt idx="4">
                  <c:v>21.81</c:v>
                </c:pt>
                <c:pt idx="5">
                  <c:v>25.36</c:v>
                </c:pt>
                <c:pt idx="6">
                  <c:v>28.39</c:v>
                </c:pt>
                <c:pt idx="7">
                  <c:v>31.28</c:v>
                </c:pt>
                <c:pt idx="8">
                  <c:v>33.619999999999997</c:v>
                </c:pt>
                <c:pt idx="9">
                  <c:v>36.369999999999997</c:v>
                </c:pt>
                <c:pt idx="10">
                  <c:v>38.79</c:v>
                </c:pt>
                <c:pt idx="11">
                  <c:v>41.16</c:v>
                </c:pt>
                <c:pt idx="12">
                  <c:v>44.19</c:v>
                </c:pt>
                <c:pt idx="13">
                  <c:v>47.96</c:v>
                </c:pt>
                <c:pt idx="14">
                  <c:v>52.17</c:v>
                </c:pt>
                <c:pt idx="15">
                  <c:v>57.11</c:v>
                </c:pt>
                <c:pt idx="16">
                  <c:v>64.75</c:v>
                </c:pt>
                <c:pt idx="17">
                  <c:v>75.040000000000006</c:v>
                </c:pt>
                <c:pt idx="18">
                  <c:v>92.33</c:v>
                </c:pt>
                <c:pt idx="19">
                  <c:v>127.82</c:v>
                </c:pt>
              </c:numCache>
            </c:numRef>
          </c:xVal>
          <c:yVal>
            <c:numRef>
              <c:f>'Run 2 (Ty)'!$F$22:$F$41</c:f>
              <c:numCache>
                <c:formatCode>General</c:formatCode>
                <c:ptCount val="20"/>
                <c:pt idx="0">
                  <c:v>0.48809999999999998</c:v>
                </c:pt>
                <c:pt idx="1">
                  <c:v>0.50309999999999999</c:v>
                </c:pt>
                <c:pt idx="2">
                  <c:v>0.54510000000000003</c:v>
                </c:pt>
                <c:pt idx="3">
                  <c:v>0.54410000000000003</c:v>
                </c:pt>
                <c:pt idx="4">
                  <c:v>0.5796</c:v>
                </c:pt>
                <c:pt idx="5">
                  <c:v>0.59509999999999996</c:v>
                </c:pt>
                <c:pt idx="6">
                  <c:v>0.61860000000000004</c:v>
                </c:pt>
                <c:pt idx="7">
                  <c:v>0.61399999999999999</c:v>
                </c:pt>
                <c:pt idx="8">
                  <c:v>0.62209999999999999</c:v>
                </c:pt>
                <c:pt idx="9">
                  <c:v>0.63680000000000003</c:v>
                </c:pt>
                <c:pt idx="10">
                  <c:v>0.64900000000000002</c:v>
                </c:pt>
                <c:pt idx="11">
                  <c:v>0.65920000000000001</c:v>
                </c:pt>
                <c:pt idx="12">
                  <c:v>0.66920000000000002</c:v>
                </c:pt>
                <c:pt idx="13">
                  <c:v>0.70420000000000005</c:v>
                </c:pt>
                <c:pt idx="14">
                  <c:v>0.71419999999999995</c:v>
                </c:pt>
                <c:pt idx="15">
                  <c:v>0.74</c:v>
                </c:pt>
                <c:pt idx="16">
                  <c:v>0.76519999999999999</c:v>
                </c:pt>
                <c:pt idx="17">
                  <c:v>0.80620000000000003</c:v>
                </c:pt>
                <c:pt idx="18">
                  <c:v>0.8972</c:v>
                </c:pt>
                <c:pt idx="19">
                  <c:v>0.98219999999999996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18-43FE-ACFF-F7E0A7408C80}"/>
            </c:ext>
          </c:extLst>
        </c:ser>
        <c:ser>
          <c:idx val="3"/>
          <c:order val="2"/>
          <c:tx>
            <c:strRef>
              <c:f>'Run 2 (Ty)'!$A$42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(Ty)'!$D$42:$D$61</c:f>
              <c:numCache>
                <c:formatCode>General</c:formatCode>
                <c:ptCount val="20"/>
                <c:pt idx="0">
                  <c:v>16.78</c:v>
                </c:pt>
                <c:pt idx="1">
                  <c:v>19.13</c:v>
                </c:pt>
                <c:pt idx="2">
                  <c:v>23.11</c:v>
                </c:pt>
                <c:pt idx="3">
                  <c:v>26.86</c:v>
                </c:pt>
                <c:pt idx="4">
                  <c:v>29.71</c:v>
                </c:pt>
                <c:pt idx="5">
                  <c:v>32.67</c:v>
                </c:pt>
                <c:pt idx="6">
                  <c:v>35.159999999999997</c:v>
                </c:pt>
                <c:pt idx="7">
                  <c:v>36.979999999999997</c:v>
                </c:pt>
                <c:pt idx="8">
                  <c:v>38.74</c:v>
                </c:pt>
                <c:pt idx="9">
                  <c:v>40.21</c:v>
                </c:pt>
                <c:pt idx="10">
                  <c:v>41.73</c:v>
                </c:pt>
                <c:pt idx="11">
                  <c:v>43.42</c:v>
                </c:pt>
                <c:pt idx="12">
                  <c:v>45.57</c:v>
                </c:pt>
                <c:pt idx="13">
                  <c:v>48.02</c:v>
                </c:pt>
                <c:pt idx="14">
                  <c:v>51.14</c:v>
                </c:pt>
                <c:pt idx="15">
                  <c:v>54.47</c:v>
                </c:pt>
                <c:pt idx="16">
                  <c:v>58.16</c:v>
                </c:pt>
                <c:pt idx="17">
                  <c:v>62.83</c:v>
                </c:pt>
                <c:pt idx="18">
                  <c:v>72.63</c:v>
                </c:pt>
                <c:pt idx="19">
                  <c:v>90.27</c:v>
                </c:pt>
              </c:numCache>
            </c:numRef>
          </c:xVal>
          <c:yVal>
            <c:numRef>
              <c:f>'Run 2 (Ty)'!$F$42:$F$61</c:f>
              <c:numCache>
                <c:formatCode>General</c:formatCode>
                <c:ptCount val="20"/>
                <c:pt idx="0">
                  <c:v>0.84850000000000003</c:v>
                </c:pt>
                <c:pt idx="1">
                  <c:v>0.86919999999999997</c:v>
                </c:pt>
                <c:pt idx="2">
                  <c:v>0.88519999999999999</c:v>
                </c:pt>
                <c:pt idx="3">
                  <c:v>0.8952</c:v>
                </c:pt>
                <c:pt idx="4">
                  <c:v>0.90259999999999996</c:v>
                </c:pt>
                <c:pt idx="5">
                  <c:v>0.92969999999999997</c:v>
                </c:pt>
                <c:pt idx="6">
                  <c:v>0.94689999999999996</c:v>
                </c:pt>
                <c:pt idx="7">
                  <c:v>0.95489999999999997</c:v>
                </c:pt>
                <c:pt idx="8">
                  <c:v>0.93379999999999996</c:v>
                </c:pt>
                <c:pt idx="9">
                  <c:v>0.96709999999999996</c:v>
                </c:pt>
                <c:pt idx="10">
                  <c:v>0.96220000000000006</c:v>
                </c:pt>
                <c:pt idx="11">
                  <c:v>0.98599999999999999</c:v>
                </c:pt>
                <c:pt idx="12">
                  <c:v>0.96719999999999995</c:v>
                </c:pt>
                <c:pt idx="13">
                  <c:v>0.97619999999999996</c:v>
                </c:pt>
                <c:pt idx="14">
                  <c:v>0.97319999999999995</c:v>
                </c:pt>
                <c:pt idx="15">
                  <c:v>1.0152000000000001</c:v>
                </c:pt>
                <c:pt idx="16">
                  <c:v>0.99429999999999996</c:v>
                </c:pt>
                <c:pt idx="17">
                  <c:v>1.0142</c:v>
                </c:pt>
                <c:pt idx="18">
                  <c:v>1.0113000000000001</c:v>
                </c:pt>
                <c:pt idx="19">
                  <c:v>1.0708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18-43FE-ACFF-F7E0A7408C80}"/>
            </c:ext>
          </c:extLst>
        </c:ser>
        <c:ser>
          <c:idx val="4"/>
          <c:order val="3"/>
          <c:tx>
            <c:strRef>
              <c:f>'Run 2 (Ty)'!$A$62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(Ty)'!$D$62:$D$81</c:f>
              <c:numCache>
                <c:formatCode>General</c:formatCode>
                <c:ptCount val="20"/>
                <c:pt idx="0">
                  <c:v>13.95</c:v>
                </c:pt>
                <c:pt idx="1">
                  <c:v>16.7</c:v>
                </c:pt>
                <c:pt idx="2">
                  <c:v>22.3</c:v>
                </c:pt>
                <c:pt idx="3">
                  <c:v>26.87</c:v>
                </c:pt>
                <c:pt idx="4">
                  <c:v>31.39</c:v>
                </c:pt>
                <c:pt idx="5">
                  <c:v>35.229999999999997</c:v>
                </c:pt>
                <c:pt idx="6">
                  <c:v>38.81</c:v>
                </c:pt>
                <c:pt idx="7">
                  <c:v>43.7</c:v>
                </c:pt>
                <c:pt idx="8">
                  <c:v>45.6</c:v>
                </c:pt>
                <c:pt idx="9">
                  <c:v>47.44</c:v>
                </c:pt>
                <c:pt idx="10">
                  <c:v>49.3</c:v>
                </c:pt>
                <c:pt idx="11">
                  <c:v>51.52</c:v>
                </c:pt>
                <c:pt idx="12">
                  <c:v>61.07</c:v>
                </c:pt>
                <c:pt idx="13">
                  <c:v>68.62</c:v>
                </c:pt>
                <c:pt idx="14">
                  <c:v>72.48</c:v>
                </c:pt>
                <c:pt idx="15">
                  <c:v>76.94</c:v>
                </c:pt>
                <c:pt idx="16">
                  <c:v>82.87</c:v>
                </c:pt>
                <c:pt idx="17">
                  <c:v>90.9</c:v>
                </c:pt>
                <c:pt idx="18">
                  <c:v>113.5</c:v>
                </c:pt>
                <c:pt idx="19">
                  <c:v>150.59</c:v>
                </c:pt>
              </c:numCache>
            </c:numRef>
          </c:xVal>
          <c:yVal>
            <c:numRef>
              <c:f>'Run 2 (Ty)'!$F$62:$F$81</c:f>
              <c:numCache>
                <c:formatCode>General</c:formatCode>
                <c:ptCount val="20"/>
                <c:pt idx="0">
                  <c:v>0.87519999999999998</c:v>
                </c:pt>
                <c:pt idx="1">
                  <c:v>0.9052</c:v>
                </c:pt>
                <c:pt idx="2">
                  <c:v>0.9224</c:v>
                </c:pt>
                <c:pt idx="3">
                  <c:v>0.98419999999999996</c:v>
                </c:pt>
                <c:pt idx="4">
                  <c:v>0.99470000000000003</c:v>
                </c:pt>
                <c:pt idx="5">
                  <c:v>1.0192000000000001</c:v>
                </c:pt>
                <c:pt idx="6">
                  <c:v>1.0237000000000001</c:v>
                </c:pt>
                <c:pt idx="7">
                  <c:v>1.0611999999999999</c:v>
                </c:pt>
                <c:pt idx="8">
                  <c:v>1.0582</c:v>
                </c:pt>
                <c:pt idx="9">
                  <c:v>1.0971</c:v>
                </c:pt>
                <c:pt idx="10">
                  <c:v>1.0728</c:v>
                </c:pt>
                <c:pt idx="11">
                  <c:v>1.0999000000000001</c:v>
                </c:pt>
                <c:pt idx="12">
                  <c:v>1.1311</c:v>
                </c:pt>
                <c:pt idx="13">
                  <c:v>1.1939</c:v>
                </c:pt>
                <c:pt idx="14">
                  <c:v>1.1972</c:v>
                </c:pt>
                <c:pt idx="15">
                  <c:v>1.2142999999999999</c:v>
                </c:pt>
                <c:pt idx="16">
                  <c:v>1.2068000000000001</c:v>
                </c:pt>
                <c:pt idx="17">
                  <c:v>1.2458</c:v>
                </c:pt>
                <c:pt idx="18">
                  <c:v>1.2932999999999999</c:v>
                </c:pt>
                <c:pt idx="19">
                  <c:v>1.3488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18-43FE-ACFF-F7E0A7408C80}"/>
            </c:ext>
          </c:extLst>
        </c:ser>
        <c:ser>
          <c:idx val="5"/>
          <c:order val="4"/>
          <c:tx>
            <c:strRef>
              <c:f>'Run 2 (Ty)'!$A$82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(Ty)'!$D$82:$D$101</c:f>
              <c:numCache>
                <c:formatCode>General</c:formatCode>
                <c:ptCount val="20"/>
                <c:pt idx="0">
                  <c:v>19.86</c:v>
                </c:pt>
                <c:pt idx="1">
                  <c:v>25.26</c:v>
                </c:pt>
                <c:pt idx="2">
                  <c:v>36.25</c:v>
                </c:pt>
                <c:pt idx="3">
                  <c:v>45.89</c:v>
                </c:pt>
                <c:pt idx="4">
                  <c:v>55.61</c:v>
                </c:pt>
                <c:pt idx="5">
                  <c:v>64.55</c:v>
                </c:pt>
                <c:pt idx="6">
                  <c:v>72.91</c:v>
                </c:pt>
                <c:pt idx="7">
                  <c:v>80.92</c:v>
                </c:pt>
                <c:pt idx="8">
                  <c:v>87.76</c:v>
                </c:pt>
                <c:pt idx="9">
                  <c:v>95.71</c:v>
                </c:pt>
                <c:pt idx="10">
                  <c:v>102.51</c:v>
                </c:pt>
                <c:pt idx="11">
                  <c:v>109.73</c:v>
                </c:pt>
                <c:pt idx="12">
                  <c:v>119.13</c:v>
                </c:pt>
                <c:pt idx="13">
                  <c:v>131.19999999999999</c:v>
                </c:pt>
                <c:pt idx="14">
                  <c:v>146.32</c:v>
                </c:pt>
                <c:pt idx="15">
                  <c:v>164.59</c:v>
                </c:pt>
                <c:pt idx="16">
                  <c:v>192.78</c:v>
                </c:pt>
                <c:pt idx="17">
                  <c:v>232.35</c:v>
                </c:pt>
                <c:pt idx="18">
                  <c:v>299.58999999999997</c:v>
                </c:pt>
                <c:pt idx="19">
                  <c:v>430.35</c:v>
                </c:pt>
              </c:numCache>
            </c:numRef>
          </c:xVal>
          <c:yVal>
            <c:numRef>
              <c:f>'Run 2 (Ty)'!$F$82:$F$101</c:f>
              <c:numCache>
                <c:formatCode>General</c:formatCode>
                <c:ptCount val="20"/>
                <c:pt idx="0">
                  <c:v>1.1287</c:v>
                </c:pt>
                <c:pt idx="1">
                  <c:v>1.1853</c:v>
                </c:pt>
                <c:pt idx="2">
                  <c:v>1.1942999999999999</c:v>
                </c:pt>
                <c:pt idx="3">
                  <c:v>1.2723</c:v>
                </c:pt>
                <c:pt idx="4">
                  <c:v>1.3167</c:v>
                </c:pt>
                <c:pt idx="5">
                  <c:v>1.365</c:v>
                </c:pt>
                <c:pt idx="6">
                  <c:v>1.3951</c:v>
                </c:pt>
                <c:pt idx="7">
                  <c:v>1.4469000000000001</c:v>
                </c:pt>
                <c:pt idx="8">
                  <c:v>1.4753000000000001</c:v>
                </c:pt>
                <c:pt idx="9">
                  <c:v>1.5164</c:v>
                </c:pt>
                <c:pt idx="10">
                  <c:v>1.5542</c:v>
                </c:pt>
                <c:pt idx="11">
                  <c:v>1.5924</c:v>
                </c:pt>
                <c:pt idx="12">
                  <c:v>1.5991</c:v>
                </c:pt>
                <c:pt idx="13">
                  <c:v>1.6654</c:v>
                </c:pt>
                <c:pt idx="14">
                  <c:v>1.7582</c:v>
                </c:pt>
                <c:pt idx="15">
                  <c:v>1.8493999999999999</c:v>
                </c:pt>
                <c:pt idx="16">
                  <c:v>1.9278999999999999</c:v>
                </c:pt>
                <c:pt idx="17">
                  <c:v>2.0830000000000002</c:v>
                </c:pt>
                <c:pt idx="18">
                  <c:v>2.3519000000000001</c:v>
                </c:pt>
                <c:pt idx="19">
                  <c:v>2.9416000000000002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18-43FE-ACFF-F7E0A7408C80}"/>
            </c:ext>
          </c:extLst>
        </c:ser>
        <c:ser>
          <c:idx val="0"/>
          <c:order val="5"/>
          <c:tx>
            <c:strRef>
              <c:f>'Run 2 (Ty)'!$A$102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(Ty)'!$D$102:$D$121</c:f>
              <c:numCache>
                <c:formatCode>General</c:formatCode>
                <c:ptCount val="20"/>
                <c:pt idx="0">
                  <c:v>32.56</c:v>
                </c:pt>
                <c:pt idx="1">
                  <c:v>42.01</c:v>
                </c:pt>
                <c:pt idx="2">
                  <c:v>60.53</c:v>
                </c:pt>
                <c:pt idx="3">
                  <c:v>76.349999999999994</c:v>
                </c:pt>
                <c:pt idx="4">
                  <c:v>90.43</c:v>
                </c:pt>
                <c:pt idx="5">
                  <c:v>103.23</c:v>
                </c:pt>
                <c:pt idx="6">
                  <c:v>114.67</c:v>
                </c:pt>
                <c:pt idx="7">
                  <c:v>125.9</c:v>
                </c:pt>
                <c:pt idx="8">
                  <c:v>134.71</c:v>
                </c:pt>
                <c:pt idx="9">
                  <c:v>144.58000000000001</c:v>
                </c:pt>
                <c:pt idx="10">
                  <c:v>152.88</c:v>
                </c:pt>
                <c:pt idx="11">
                  <c:v>161.74</c:v>
                </c:pt>
                <c:pt idx="12">
                  <c:v>172.74</c:v>
                </c:pt>
                <c:pt idx="13">
                  <c:v>186.25</c:v>
                </c:pt>
                <c:pt idx="14">
                  <c:v>202.59</c:v>
                </c:pt>
                <c:pt idx="15">
                  <c:v>221.23</c:v>
                </c:pt>
                <c:pt idx="16">
                  <c:v>250.39</c:v>
                </c:pt>
                <c:pt idx="17">
                  <c:v>289.89</c:v>
                </c:pt>
                <c:pt idx="18">
                  <c:v>359.64</c:v>
                </c:pt>
                <c:pt idx="19">
                  <c:v>505.41</c:v>
                </c:pt>
              </c:numCache>
            </c:numRef>
          </c:xVal>
          <c:yVal>
            <c:numRef>
              <c:f>'Run 2 (Ty)'!$F$102:$F$121</c:f>
              <c:numCache>
                <c:formatCode>General</c:formatCode>
                <c:ptCount val="20"/>
                <c:pt idx="0">
                  <c:v>1.8169</c:v>
                </c:pt>
                <c:pt idx="1">
                  <c:v>1.8573999999999999</c:v>
                </c:pt>
                <c:pt idx="2">
                  <c:v>1.9662999999999999</c:v>
                </c:pt>
                <c:pt idx="3">
                  <c:v>2.0507</c:v>
                </c:pt>
                <c:pt idx="4">
                  <c:v>2.1257000000000001</c:v>
                </c:pt>
                <c:pt idx="5">
                  <c:v>2.2385999999999999</c:v>
                </c:pt>
                <c:pt idx="6">
                  <c:v>2.2275</c:v>
                </c:pt>
                <c:pt idx="7">
                  <c:v>2.4599000000000002</c:v>
                </c:pt>
                <c:pt idx="8">
                  <c:v>2.3677000000000001</c:v>
                </c:pt>
                <c:pt idx="9">
                  <c:v>2.3734999999999999</c:v>
                </c:pt>
                <c:pt idx="10">
                  <c:v>2.4300999999999999</c:v>
                </c:pt>
                <c:pt idx="11">
                  <c:v>2.5432999999999999</c:v>
                </c:pt>
                <c:pt idx="12">
                  <c:v>2.5615000000000001</c:v>
                </c:pt>
                <c:pt idx="13">
                  <c:v>2.6236000000000002</c:v>
                </c:pt>
                <c:pt idx="14">
                  <c:v>2.5899000000000001</c:v>
                </c:pt>
                <c:pt idx="15">
                  <c:v>2.6465999999999998</c:v>
                </c:pt>
                <c:pt idx="16">
                  <c:v>2.7978999999999998</c:v>
                </c:pt>
                <c:pt idx="17">
                  <c:v>3.0234000000000001</c:v>
                </c:pt>
                <c:pt idx="18">
                  <c:v>3.2004999999999999</c:v>
                </c:pt>
                <c:pt idx="19">
                  <c:v>3.8149000000000002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18-43FE-ACFF-F7E0A7408C80}"/>
            </c:ext>
          </c:extLst>
        </c:ser>
        <c:ser>
          <c:idx val="6"/>
          <c:order val="6"/>
          <c:tx>
            <c:strRef>
              <c:f>'Run 2 (Ty)'!$A$122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(Ty)'!$D$122:$D$141</c:f>
              <c:numCache>
                <c:formatCode>General</c:formatCode>
                <c:ptCount val="20"/>
                <c:pt idx="0">
                  <c:v>90.15</c:v>
                </c:pt>
                <c:pt idx="1">
                  <c:v>93.89</c:v>
                </c:pt>
                <c:pt idx="2">
                  <c:v>101.62</c:v>
                </c:pt>
                <c:pt idx="3">
                  <c:v>109.96</c:v>
                </c:pt>
                <c:pt idx="4">
                  <c:v>119.91</c:v>
                </c:pt>
                <c:pt idx="5">
                  <c:v>131.15</c:v>
                </c:pt>
                <c:pt idx="6">
                  <c:v>151.44</c:v>
                </c:pt>
                <c:pt idx="7">
                  <c:v>185.79</c:v>
                </c:pt>
                <c:pt idx="8">
                  <c:v>192.75</c:v>
                </c:pt>
                <c:pt idx="9">
                  <c:v>198.69</c:v>
                </c:pt>
                <c:pt idx="10">
                  <c:v>204.74</c:v>
                </c:pt>
                <c:pt idx="11">
                  <c:v>218.96</c:v>
                </c:pt>
                <c:pt idx="12">
                  <c:v>424.73</c:v>
                </c:pt>
                <c:pt idx="13">
                  <c:v>523.87</c:v>
                </c:pt>
                <c:pt idx="14">
                  <c:v>541.24</c:v>
                </c:pt>
                <c:pt idx="15">
                  <c:v>570.17999999999995</c:v>
                </c:pt>
                <c:pt idx="16">
                  <c:v>593.91</c:v>
                </c:pt>
                <c:pt idx="17">
                  <c:v>630.11</c:v>
                </c:pt>
                <c:pt idx="18">
                  <c:v>844.37</c:v>
                </c:pt>
                <c:pt idx="19">
                  <c:v>1144.1400000000001</c:v>
                </c:pt>
              </c:numCache>
            </c:numRef>
          </c:xVal>
          <c:yVal>
            <c:numRef>
              <c:f>'Run 2 (Ty)'!$F$122:$F$141</c:f>
              <c:numCache>
                <c:formatCode>General</c:formatCode>
                <c:ptCount val="20"/>
                <c:pt idx="0">
                  <c:v>6.4572000000000003</c:v>
                </c:pt>
                <c:pt idx="1">
                  <c:v>6.5538999999999996</c:v>
                </c:pt>
                <c:pt idx="2">
                  <c:v>6.5807000000000002</c:v>
                </c:pt>
                <c:pt idx="3">
                  <c:v>6.5621</c:v>
                </c:pt>
                <c:pt idx="4">
                  <c:v>6.6429</c:v>
                </c:pt>
                <c:pt idx="5">
                  <c:v>6.6993999999999998</c:v>
                </c:pt>
                <c:pt idx="6">
                  <c:v>6.8177000000000003</c:v>
                </c:pt>
                <c:pt idx="7">
                  <c:v>7.1798999999999999</c:v>
                </c:pt>
                <c:pt idx="8">
                  <c:v>7.1337999999999999</c:v>
                </c:pt>
                <c:pt idx="9">
                  <c:v>7.3620999999999999</c:v>
                </c:pt>
                <c:pt idx="10">
                  <c:v>7.3958000000000004</c:v>
                </c:pt>
                <c:pt idx="11">
                  <c:v>7.4680999999999997</c:v>
                </c:pt>
                <c:pt idx="12">
                  <c:v>8.5661000000000005</c:v>
                </c:pt>
                <c:pt idx="13">
                  <c:v>9.0165000000000006</c:v>
                </c:pt>
                <c:pt idx="14">
                  <c:v>9.2220999999999993</c:v>
                </c:pt>
                <c:pt idx="15">
                  <c:v>9.2836999999999996</c:v>
                </c:pt>
                <c:pt idx="16">
                  <c:v>9.3213000000000008</c:v>
                </c:pt>
                <c:pt idx="17">
                  <c:v>9.3625000000000007</c:v>
                </c:pt>
                <c:pt idx="18">
                  <c:v>9.4817</c:v>
                </c:pt>
                <c:pt idx="19">
                  <c:v>9.9827999999999992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18-43FE-ACFF-F7E0A7408C80}"/>
            </c:ext>
          </c:extLst>
        </c:ser>
        <c:ser>
          <c:idx val="7"/>
          <c:order val="7"/>
          <c:tx>
            <c:strRef>
              <c:f>'Run 2 (Ty)'!$A$142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(Ty)'!$D$142:$D$161</c:f>
              <c:numCache>
                <c:formatCode>General</c:formatCode>
                <c:ptCount val="20"/>
                <c:pt idx="0">
                  <c:v>42.46</c:v>
                </c:pt>
                <c:pt idx="1">
                  <c:v>50.99</c:v>
                </c:pt>
                <c:pt idx="2">
                  <c:v>69.88</c:v>
                </c:pt>
                <c:pt idx="3">
                  <c:v>86.14</c:v>
                </c:pt>
                <c:pt idx="4">
                  <c:v>101.1</c:v>
                </c:pt>
                <c:pt idx="5">
                  <c:v>115.58</c:v>
                </c:pt>
                <c:pt idx="6">
                  <c:v>128.41</c:v>
                </c:pt>
                <c:pt idx="7">
                  <c:v>143.56</c:v>
                </c:pt>
                <c:pt idx="8">
                  <c:v>152.91</c:v>
                </c:pt>
                <c:pt idx="9">
                  <c:v>162.57</c:v>
                </c:pt>
                <c:pt idx="10">
                  <c:v>172.21</c:v>
                </c:pt>
                <c:pt idx="11">
                  <c:v>184.38</c:v>
                </c:pt>
                <c:pt idx="12">
                  <c:v>200.47</c:v>
                </c:pt>
                <c:pt idx="13">
                  <c:v>224.52</c:v>
                </c:pt>
                <c:pt idx="14">
                  <c:v>242.92</c:v>
                </c:pt>
                <c:pt idx="15">
                  <c:v>267.76</c:v>
                </c:pt>
                <c:pt idx="16">
                  <c:v>305.83</c:v>
                </c:pt>
                <c:pt idx="17">
                  <c:v>341.28</c:v>
                </c:pt>
                <c:pt idx="18">
                  <c:v>404.54</c:v>
                </c:pt>
                <c:pt idx="19">
                  <c:v>541.26</c:v>
                </c:pt>
              </c:numCache>
            </c:numRef>
          </c:xVal>
          <c:yVal>
            <c:numRef>
              <c:f>'Run 2 (Ty)'!$F$142:$F$161</c:f>
              <c:numCache>
                <c:formatCode>General</c:formatCode>
                <c:ptCount val="20"/>
                <c:pt idx="0">
                  <c:v>2.6141000000000001</c:v>
                </c:pt>
                <c:pt idx="1">
                  <c:v>2.6252</c:v>
                </c:pt>
                <c:pt idx="2">
                  <c:v>2.7458999999999998</c:v>
                </c:pt>
                <c:pt idx="3">
                  <c:v>2.8298999999999999</c:v>
                </c:pt>
                <c:pt idx="4">
                  <c:v>2.9115000000000002</c:v>
                </c:pt>
                <c:pt idx="5">
                  <c:v>2.9487000000000001</c:v>
                </c:pt>
                <c:pt idx="6">
                  <c:v>3.0402</c:v>
                </c:pt>
                <c:pt idx="7">
                  <c:v>3.1019999999999999</c:v>
                </c:pt>
                <c:pt idx="8">
                  <c:v>3.1274999999999999</c:v>
                </c:pt>
                <c:pt idx="9">
                  <c:v>3.2616999999999998</c:v>
                </c:pt>
                <c:pt idx="10">
                  <c:v>3.2654999999999998</c:v>
                </c:pt>
                <c:pt idx="11">
                  <c:v>3.2827999999999999</c:v>
                </c:pt>
                <c:pt idx="12">
                  <c:v>3.3448000000000002</c:v>
                </c:pt>
                <c:pt idx="13">
                  <c:v>3.4184999999999999</c:v>
                </c:pt>
                <c:pt idx="14">
                  <c:v>3.5577000000000001</c:v>
                </c:pt>
                <c:pt idx="15">
                  <c:v>3.7073</c:v>
                </c:pt>
                <c:pt idx="16">
                  <c:v>3.8628999999999998</c:v>
                </c:pt>
                <c:pt idx="17">
                  <c:v>3.9634</c:v>
                </c:pt>
                <c:pt idx="18">
                  <c:v>4.0198999999999998</c:v>
                </c:pt>
                <c:pt idx="19">
                  <c:v>4.1468999999999996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18-43FE-ACFF-F7E0A7408C80}"/>
            </c:ext>
          </c:extLst>
        </c:ser>
        <c:ser>
          <c:idx val="8"/>
          <c:order val="8"/>
          <c:tx>
            <c:strRef>
              <c:f>'Run 2 (Ty)'!$A$162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(Ty)'!$D$162:$D$181</c:f>
              <c:numCache>
                <c:formatCode>General</c:formatCode>
                <c:ptCount val="20"/>
                <c:pt idx="0">
                  <c:v>29.81</c:v>
                </c:pt>
                <c:pt idx="1">
                  <c:v>35.15</c:v>
                </c:pt>
                <c:pt idx="2">
                  <c:v>46.07</c:v>
                </c:pt>
                <c:pt idx="3">
                  <c:v>55.63</c:v>
                </c:pt>
                <c:pt idx="4">
                  <c:v>63.89</c:v>
                </c:pt>
                <c:pt idx="5">
                  <c:v>71.959999999999994</c:v>
                </c:pt>
                <c:pt idx="6">
                  <c:v>79.38</c:v>
                </c:pt>
                <c:pt idx="7">
                  <c:v>86.34</c:v>
                </c:pt>
                <c:pt idx="8">
                  <c:v>92.33</c:v>
                </c:pt>
                <c:pt idx="9">
                  <c:v>99.45</c:v>
                </c:pt>
                <c:pt idx="10">
                  <c:v>105.32</c:v>
                </c:pt>
                <c:pt idx="11">
                  <c:v>111.21</c:v>
                </c:pt>
                <c:pt idx="12">
                  <c:v>118.92</c:v>
                </c:pt>
                <c:pt idx="13">
                  <c:v>129.13</c:v>
                </c:pt>
                <c:pt idx="14">
                  <c:v>140.74</c:v>
                </c:pt>
                <c:pt idx="15">
                  <c:v>154.34</c:v>
                </c:pt>
                <c:pt idx="16">
                  <c:v>176.58</c:v>
                </c:pt>
                <c:pt idx="17">
                  <c:v>208.56</c:v>
                </c:pt>
                <c:pt idx="18">
                  <c:v>271.25</c:v>
                </c:pt>
                <c:pt idx="19">
                  <c:v>422.98</c:v>
                </c:pt>
              </c:numCache>
            </c:numRef>
          </c:xVal>
          <c:yVal>
            <c:numRef>
              <c:f>'Run 2 (Ty)'!$F$162:$F$181</c:f>
              <c:numCache>
                <c:formatCode>General</c:formatCode>
                <c:ptCount val="20"/>
                <c:pt idx="0">
                  <c:v>1.8907</c:v>
                </c:pt>
                <c:pt idx="1">
                  <c:v>1.9644999999999999</c:v>
                </c:pt>
                <c:pt idx="2">
                  <c:v>1.9915</c:v>
                </c:pt>
                <c:pt idx="3">
                  <c:v>2.0701000000000001</c:v>
                </c:pt>
                <c:pt idx="4">
                  <c:v>2.109</c:v>
                </c:pt>
                <c:pt idx="5">
                  <c:v>2.1732999999999998</c:v>
                </c:pt>
                <c:pt idx="6">
                  <c:v>2.1934999999999998</c:v>
                </c:pt>
                <c:pt idx="7">
                  <c:v>2.2507999999999999</c:v>
                </c:pt>
                <c:pt idx="8">
                  <c:v>2.3108</c:v>
                </c:pt>
                <c:pt idx="9">
                  <c:v>2.3224999999999998</c:v>
                </c:pt>
                <c:pt idx="10">
                  <c:v>2.3195999999999999</c:v>
                </c:pt>
                <c:pt idx="11">
                  <c:v>2.3342000000000001</c:v>
                </c:pt>
                <c:pt idx="12">
                  <c:v>2.3913000000000002</c:v>
                </c:pt>
                <c:pt idx="13">
                  <c:v>2.419</c:v>
                </c:pt>
                <c:pt idx="14">
                  <c:v>2.5026000000000002</c:v>
                </c:pt>
                <c:pt idx="15">
                  <c:v>2.5623999999999998</c:v>
                </c:pt>
                <c:pt idx="16">
                  <c:v>2.6473</c:v>
                </c:pt>
                <c:pt idx="17">
                  <c:v>2.8311999999999999</c:v>
                </c:pt>
                <c:pt idx="18">
                  <c:v>3.0602999999999998</c:v>
                </c:pt>
                <c:pt idx="19">
                  <c:v>3.6614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18-43FE-ACFF-F7E0A7408C80}"/>
            </c:ext>
          </c:extLst>
        </c:ser>
        <c:ser>
          <c:idx val="9"/>
          <c:order val="9"/>
          <c:tx>
            <c:strRef>
              <c:f>'Run 2 (Ty)'!$A$182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(Ty)'!$D$182:$D$201</c:f>
              <c:numCache>
                <c:formatCode>General</c:formatCode>
                <c:ptCount val="20"/>
                <c:pt idx="0">
                  <c:v>106.96</c:v>
                </c:pt>
                <c:pt idx="1">
                  <c:v>135.33000000000001</c:v>
                </c:pt>
                <c:pt idx="2">
                  <c:v>193.43</c:v>
                </c:pt>
                <c:pt idx="3">
                  <c:v>239.76</c:v>
                </c:pt>
                <c:pt idx="4">
                  <c:v>280.77999999999997</c:v>
                </c:pt>
                <c:pt idx="5">
                  <c:v>320.54000000000002</c:v>
                </c:pt>
                <c:pt idx="6">
                  <c:v>355.06</c:v>
                </c:pt>
                <c:pt idx="7">
                  <c:v>411.56</c:v>
                </c:pt>
                <c:pt idx="8">
                  <c:v>431.63</c:v>
                </c:pt>
                <c:pt idx="9">
                  <c:v>451.18</c:v>
                </c:pt>
                <c:pt idx="10">
                  <c:v>470.83</c:v>
                </c:pt>
                <c:pt idx="11">
                  <c:v>495.55</c:v>
                </c:pt>
                <c:pt idx="12">
                  <c:v>654.53</c:v>
                </c:pt>
                <c:pt idx="13">
                  <c:v>773.79</c:v>
                </c:pt>
                <c:pt idx="14">
                  <c:v>818.27</c:v>
                </c:pt>
                <c:pt idx="15">
                  <c:v>869.82</c:v>
                </c:pt>
                <c:pt idx="16">
                  <c:v>927.48</c:v>
                </c:pt>
                <c:pt idx="17">
                  <c:v>1006.41</c:v>
                </c:pt>
                <c:pt idx="18">
                  <c:v>1281.8800000000001</c:v>
                </c:pt>
                <c:pt idx="19">
                  <c:v>1712.26</c:v>
                </c:pt>
              </c:numCache>
            </c:numRef>
          </c:xVal>
          <c:yVal>
            <c:numRef>
              <c:f>'Run 2 (Ty)'!$F$182:$F$201</c:f>
              <c:numCache>
                <c:formatCode>General</c:formatCode>
                <c:ptCount val="20"/>
                <c:pt idx="0">
                  <c:v>6.4945000000000004</c:v>
                </c:pt>
                <c:pt idx="1">
                  <c:v>6.5914999999999999</c:v>
                </c:pt>
                <c:pt idx="2">
                  <c:v>6.9739000000000004</c:v>
                </c:pt>
                <c:pt idx="3">
                  <c:v>7.2129000000000003</c:v>
                </c:pt>
                <c:pt idx="4">
                  <c:v>7.4645000000000001</c:v>
                </c:pt>
                <c:pt idx="5">
                  <c:v>7.8131000000000004</c:v>
                </c:pt>
                <c:pt idx="6">
                  <c:v>7.8573000000000004</c:v>
                </c:pt>
                <c:pt idx="7">
                  <c:v>8.2483000000000004</c:v>
                </c:pt>
                <c:pt idx="8">
                  <c:v>8.4238999999999997</c:v>
                </c:pt>
                <c:pt idx="9">
                  <c:v>8.5200999999999993</c:v>
                </c:pt>
                <c:pt idx="10">
                  <c:v>8.4250000000000007</c:v>
                </c:pt>
                <c:pt idx="11">
                  <c:v>8.7233999999999998</c:v>
                </c:pt>
                <c:pt idx="12">
                  <c:v>9.7017000000000007</c:v>
                </c:pt>
                <c:pt idx="13">
                  <c:v>10.36</c:v>
                </c:pt>
                <c:pt idx="14">
                  <c:v>10.5025</c:v>
                </c:pt>
                <c:pt idx="15">
                  <c:v>10.4991</c:v>
                </c:pt>
                <c:pt idx="16">
                  <c:v>10.616300000000001</c:v>
                </c:pt>
                <c:pt idx="17">
                  <c:v>10.7173</c:v>
                </c:pt>
                <c:pt idx="18">
                  <c:v>10.834199999999999</c:v>
                </c:pt>
                <c:pt idx="19">
                  <c:v>11.2942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18-43FE-ACFF-F7E0A7408C80}"/>
            </c:ext>
          </c:extLst>
        </c:ser>
        <c:ser>
          <c:idx val="10"/>
          <c:order val="10"/>
          <c:tx>
            <c:strRef>
              <c:f>'Run 2 (Ty)'!$A$202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(Ty)'!$D$202:$D$221</c:f>
              <c:numCache>
                <c:formatCode>General</c:formatCode>
                <c:ptCount val="20"/>
                <c:pt idx="0">
                  <c:v>39.49</c:v>
                </c:pt>
                <c:pt idx="1">
                  <c:v>49.92</c:v>
                </c:pt>
                <c:pt idx="2">
                  <c:v>71.599999999999994</c:v>
                </c:pt>
                <c:pt idx="3">
                  <c:v>90.7</c:v>
                </c:pt>
                <c:pt idx="4">
                  <c:v>107.72</c:v>
                </c:pt>
                <c:pt idx="5">
                  <c:v>123.91</c:v>
                </c:pt>
                <c:pt idx="6">
                  <c:v>138.63999999999999</c:v>
                </c:pt>
                <c:pt idx="7">
                  <c:v>151.91</c:v>
                </c:pt>
                <c:pt idx="8">
                  <c:v>161.6</c:v>
                </c:pt>
                <c:pt idx="9">
                  <c:v>171.91</c:v>
                </c:pt>
                <c:pt idx="10">
                  <c:v>180.71</c:v>
                </c:pt>
                <c:pt idx="11">
                  <c:v>190.02</c:v>
                </c:pt>
                <c:pt idx="12">
                  <c:v>201.54</c:v>
                </c:pt>
                <c:pt idx="13">
                  <c:v>215.51</c:v>
                </c:pt>
                <c:pt idx="14">
                  <c:v>230.97</c:v>
                </c:pt>
                <c:pt idx="15">
                  <c:v>249.13</c:v>
                </c:pt>
                <c:pt idx="16">
                  <c:v>275.13</c:v>
                </c:pt>
                <c:pt idx="17">
                  <c:v>310.63</c:v>
                </c:pt>
                <c:pt idx="18">
                  <c:v>378.38</c:v>
                </c:pt>
                <c:pt idx="19">
                  <c:v>520.12</c:v>
                </c:pt>
              </c:numCache>
            </c:numRef>
          </c:xVal>
          <c:yVal>
            <c:numRef>
              <c:f>'Run 2 (Ty)'!$F$202:$F$221</c:f>
              <c:numCache>
                <c:formatCode>General</c:formatCode>
                <c:ptCount val="20"/>
                <c:pt idx="0">
                  <c:v>1.9617</c:v>
                </c:pt>
                <c:pt idx="1">
                  <c:v>2.0095000000000001</c:v>
                </c:pt>
                <c:pt idx="2">
                  <c:v>2.1575000000000002</c:v>
                </c:pt>
                <c:pt idx="3">
                  <c:v>2.2645</c:v>
                </c:pt>
                <c:pt idx="4">
                  <c:v>2.3458999999999999</c:v>
                </c:pt>
                <c:pt idx="5">
                  <c:v>2.4375</c:v>
                </c:pt>
                <c:pt idx="6">
                  <c:v>2.5150999999999999</c:v>
                </c:pt>
                <c:pt idx="7">
                  <c:v>2.5747</c:v>
                </c:pt>
                <c:pt idx="8">
                  <c:v>2.5909</c:v>
                </c:pt>
                <c:pt idx="9">
                  <c:v>2.6179000000000001</c:v>
                </c:pt>
                <c:pt idx="10">
                  <c:v>2.6655000000000002</c:v>
                </c:pt>
                <c:pt idx="11">
                  <c:v>2.7008000000000001</c:v>
                </c:pt>
                <c:pt idx="12">
                  <c:v>2.7486000000000002</c:v>
                </c:pt>
                <c:pt idx="13">
                  <c:v>2.7978999999999998</c:v>
                </c:pt>
                <c:pt idx="14">
                  <c:v>2.8456000000000001</c:v>
                </c:pt>
                <c:pt idx="15">
                  <c:v>2.9018999999999999</c:v>
                </c:pt>
                <c:pt idx="16">
                  <c:v>3.0750999999999999</c:v>
                </c:pt>
                <c:pt idx="17">
                  <c:v>3.0870000000000002</c:v>
                </c:pt>
                <c:pt idx="18">
                  <c:v>3.2572999999999999</c:v>
                </c:pt>
                <c:pt idx="19">
                  <c:v>3.6253000000000002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518-43FE-ACFF-F7E0A7408C80}"/>
            </c:ext>
          </c:extLst>
        </c:ser>
        <c:ser>
          <c:idx val="11"/>
          <c:order val="11"/>
          <c:tx>
            <c:strRef>
              <c:f>'Run 2 (Ty)'!$A$222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(Ty)'!$D$222:$D$241</c:f>
              <c:numCache>
                <c:formatCode>General</c:formatCode>
                <c:ptCount val="20"/>
                <c:pt idx="0">
                  <c:v>40.29</c:v>
                </c:pt>
                <c:pt idx="1">
                  <c:v>52.09</c:v>
                </c:pt>
                <c:pt idx="2">
                  <c:v>73.84</c:v>
                </c:pt>
                <c:pt idx="3">
                  <c:v>92.92</c:v>
                </c:pt>
                <c:pt idx="4">
                  <c:v>109.57</c:v>
                </c:pt>
                <c:pt idx="5">
                  <c:v>125.2</c:v>
                </c:pt>
                <c:pt idx="6">
                  <c:v>140.41</c:v>
                </c:pt>
                <c:pt idx="7">
                  <c:v>154.56</c:v>
                </c:pt>
                <c:pt idx="8">
                  <c:v>166.9</c:v>
                </c:pt>
                <c:pt idx="9">
                  <c:v>179.68</c:v>
                </c:pt>
                <c:pt idx="10">
                  <c:v>190.95</c:v>
                </c:pt>
                <c:pt idx="11">
                  <c:v>202.7</c:v>
                </c:pt>
                <c:pt idx="12">
                  <c:v>217.04</c:v>
                </c:pt>
                <c:pt idx="13">
                  <c:v>235.56</c:v>
                </c:pt>
                <c:pt idx="14">
                  <c:v>256.97000000000003</c:v>
                </c:pt>
                <c:pt idx="15">
                  <c:v>281.62</c:v>
                </c:pt>
                <c:pt idx="16">
                  <c:v>319.45</c:v>
                </c:pt>
                <c:pt idx="17">
                  <c:v>370.24</c:v>
                </c:pt>
                <c:pt idx="18">
                  <c:v>459.13</c:v>
                </c:pt>
                <c:pt idx="19">
                  <c:v>645.63</c:v>
                </c:pt>
              </c:numCache>
            </c:numRef>
          </c:xVal>
          <c:yVal>
            <c:numRef>
              <c:f>'Run 2 (Ty)'!$F$222:$F$241</c:f>
              <c:numCache>
                <c:formatCode>General</c:formatCode>
                <c:ptCount val="20"/>
                <c:pt idx="0">
                  <c:v>2.0516000000000001</c:v>
                </c:pt>
                <c:pt idx="1">
                  <c:v>2.169</c:v>
                </c:pt>
                <c:pt idx="2">
                  <c:v>2.2595000000000001</c:v>
                </c:pt>
                <c:pt idx="3">
                  <c:v>2.3601000000000001</c:v>
                </c:pt>
                <c:pt idx="4">
                  <c:v>2.4485000000000001</c:v>
                </c:pt>
                <c:pt idx="5">
                  <c:v>2.5034000000000001</c:v>
                </c:pt>
                <c:pt idx="6">
                  <c:v>2.5758999999999999</c:v>
                </c:pt>
                <c:pt idx="7">
                  <c:v>2.6528</c:v>
                </c:pt>
                <c:pt idx="8">
                  <c:v>2.6905000000000001</c:v>
                </c:pt>
                <c:pt idx="9">
                  <c:v>2.7610000000000001</c:v>
                </c:pt>
                <c:pt idx="10">
                  <c:v>2.8227000000000002</c:v>
                </c:pt>
                <c:pt idx="11">
                  <c:v>2.8336000000000001</c:v>
                </c:pt>
                <c:pt idx="12">
                  <c:v>2.8752</c:v>
                </c:pt>
                <c:pt idx="13">
                  <c:v>2.9771999999999998</c:v>
                </c:pt>
                <c:pt idx="14">
                  <c:v>3.0819000000000001</c:v>
                </c:pt>
                <c:pt idx="15">
                  <c:v>3.1362000000000001</c:v>
                </c:pt>
                <c:pt idx="16">
                  <c:v>3.3043999999999998</c:v>
                </c:pt>
                <c:pt idx="17">
                  <c:v>3.4992999999999999</c:v>
                </c:pt>
                <c:pt idx="18">
                  <c:v>3.8290999999999999</c:v>
                </c:pt>
                <c:pt idx="19">
                  <c:v>4.4401000000000002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518-43FE-ACFF-F7E0A7408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4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4512008362196835"/>
              <c:y val="0.403429861979667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880791673906752E-2"/>
          <c:y val="1.7430182583321355E-2"/>
          <c:w val="0.13863535454887671"/>
          <c:h val="0.6329019269749391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Output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04713117496235"/>
          <c:y val="0.12039579559597302"/>
          <c:w val="0.70606402662916923"/>
          <c:h val="0.7197220065801633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2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(Ty)'!$E$2:$E$21</c:f>
              <c:numCache>
                <c:formatCode>General</c:formatCode>
                <c:ptCount val="2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</c:numCache>
            </c:numRef>
          </c:xVal>
          <c:yVal>
            <c:numRef>
              <c:f>'Run 2 (Ty)'!$G$2:$G$21</c:f>
              <c:numCache>
                <c:formatCode>General</c:formatCode>
                <c:ptCount val="20"/>
                <c:pt idx="0">
                  <c:v>7.0000000000000001E-3</c:v>
                </c:pt>
                <c:pt idx="1">
                  <c:v>7.0000000000000001E-3</c:v>
                </c:pt>
                <c:pt idx="2">
                  <c:v>8.0000000000000002E-3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8.0000000000000002E-3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0.01</c:v>
                </c:pt>
                <c:pt idx="17">
                  <c:v>0.01</c:v>
                </c:pt>
                <c:pt idx="18">
                  <c:v>1.2E-2</c:v>
                </c:pt>
                <c:pt idx="19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B-4FA2-8F14-45B570BFFAEB}"/>
            </c:ext>
          </c:extLst>
        </c:ser>
        <c:ser>
          <c:idx val="2"/>
          <c:order val="1"/>
          <c:tx>
            <c:strRef>
              <c:f>'Run 2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(Ty)'!$E$22:$E$41</c:f>
              <c:numCache>
                <c:formatCode>General</c:formatCode>
                <c:ptCount val="2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</c:numCache>
            </c:numRef>
          </c:xVal>
          <c:yVal>
            <c:numRef>
              <c:f>'Run 2 (Ty)'!$G$22:$G$41</c:f>
              <c:numCache>
                <c:formatCode>General</c:formatCode>
                <c:ptCount val="2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1E-3</c:v>
                </c:pt>
                <c:pt idx="7">
                  <c:v>2E-3</c:v>
                </c:pt>
                <c:pt idx="8">
                  <c:v>1E-3</c:v>
                </c:pt>
                <c:pt idx="9">
                  <c:v>2E-3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B-4FA2-8F14-45B570BFFAEB}"/>
            </c:ext>
          </c:extLst>
        </c:ser>
        <c:ser>
          <c:idx val="3"/>
          <c:order val="2"/>
          <c:tx>
            <c:strRef>
              <c:f>'Run 2 (Ty)'!$A$42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(Ty)'!$E$42:$E$61</c:f>
              <c:numCache>
                <c:formatCode>General</c:formatCode>
                <c:ptCount val="20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</c:numCache>
            </c:numRef>
          </c:xVal>
          <c:yVal>
            <c:numRef>
              <c:f>'Run 2 (Ty)'!$G$42:$G$61</c:f>
              <c:numCache>
                <c:formatCode>General</c:formatCode>
                <c:ptCount val="20"/>
                <c:pt idx="0">
                  <c:v>2E-3</c:v>
                </c:pt>
                <c:pt idx="1">
                  <c:v>1E-3</c:v>
                </c:pt>
                <c:pt idx="2">
                  <c:v>2E-3</c:v>
                </c:pt>
                <c:pt idx="3">
                  <c:v>2E-3</c:v>
                </c:pt>
                <c:pt idx="4">
                  <c:v>1E-3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2.3999999999999998E-3</c:v>
                </c:pt>
                <c:pt idx="9">
                  <c:v>1.6000000000000001E-3</c:v>
                </c:pt>
                <c:pt idx="10">
                  <c:v>2E-3</c:v>
                </c:pt>
                <c:pt idx="11">
                  <c:v>2E-3</c:v>
                </c:pt>
                <c:pt idx="12">
                  <c:v>4.0000000000000001E-3</c:v>
                </c:pt>
                <c:pt idx="13">
                  <c:v>2E-3</c:v>
                </c:pt>
                <c:pt idx="14">
                  <c:v>2E-3</c:v>
                </c:pt>
                <c:pt idx="15">
                  <c:v>2.3999999999999998E-3</c:v>
                </c:pt>
                <c:pt idx="16">
                  <c:v>3.0000000000000001E-3</c:v>
                </c:pt>
                <c:pt idx="17">
                  <c:v>2.2000000000000001E-3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0B-4FA2-8F14-45B570BFFAEB}"/>
            </c:ext>
          </c:extLst>
        </c:ser>
        <c:ser>
          <c:idx val="4"/>
          <c:order val="3"/>
          <c:tx>
            <c:strRef>
              <c:f>'Run 2 (Ty)'!$A$62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(Ty)'!$E$62:$E$81</c:f>
              <c:numCache>
                <c:formatCode>General</c:formatCode>
                <c:ptCount val="20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</c:numCache>
            </c:numRef>
          </c:xVal>
          <c:yVal>
            <c:numRef>
              <c:f>'Run 2 (Ty)'!$G$62:$G$81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2E-3</c:v>
                </c:pt>
                <c:pt idx="2">
                  <c:v>1.6999999999999999E-3</c:v>
                </c:pt>
                <c:pt idx="3">
                  <c:v>2.3E-3</c:v>
                </c:pt>
                <c:pt idx="4">
                  <c:v>2E-3</c:v>
                </c:pt>
                <c:pt idx="5">
                  <c:v>2E-3</c:v>
                </c:pt>
                <c:pt idx="6">
                  <c:v>3.0000000000000001E-3</c:v>
                </c:pt>
                <c:pt idx="7">
                  <c:v>2.0999999999999999E-3</c:v>
                </c:pt>
                <c:pt idx="8">
                  <c:v>2E-3</c:v>
                </c:pt>
                <c:pt idx="9">
                  <c:v>1E-3</c:v>
                </c:pt>
                <c:pt idx="10">
                  <c:v>3.0000000000000001E-3</c:v>
                </c:pt>
                <c:pt idx="11">
                  <c:v>1.4E-3</c:v>
                </c:pt>
                <c:pt idx="12">
                  <c:v>2E-3</c:v>
                </c:pt>
                <c:pt idx="13">
                  <c:v>2.2000000000000001E-3</c:v>
                </c:pt>
                <c:pt idx="14">
                  <c:v>2E-3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3.2000000000000002E-3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0B-4FA2-8F14-45B570BFFAEB}"/>
            </c:ext>
          </c:extLst>
        </c:ser>
        <c:ser>
          <c:idx val="5"/>
          <c:order val="4"/>
          <c:tx>
            <c:strRef>
              <c:f>'Run 2 (Ty)'!$A$82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(Ty)'!$E$82:$E$101</c:f>
              <c:numCache>
                <c:formatCode>General</c:formatCode>
                <c:ptCount val="20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</c:numCache>
            </c:numRef>
          </c:xVal>
          <c:yVal>
            <c:numRef>
              <c:f>'Run 2 (Ty)'!$G$82:$G$101</c:f>
              <c:numCache>
                <c:formatCode>General</c:formatCode>
                <c:ptCount val="20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2.8999999999999998E-3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2.5000000000000001E-3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3.0000000000000001E-3</c:v>
                </c:pt>
                <c:pt idx="11">
                  <c:v>2E-3</c:v>
                </c:pt>
                <c:pt idx="12">
                  <c:v>2.8999999999999998E-3</c:v>
                </c:pt>
                <c:pt idx="13">
                  <c:v>2E-3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0B-4FA2-8F14-45B570BFFAEB}"/>
            </c:ext>
          </c:extLst>
        </c:ser>
        <c:ser>
          <c:idx val="0"/>
          <c:order val="5"/>
          <c:tx>
            <c:strRef>
              <c:f>'Run 2 (Ty)'!$A$102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(Ty)'!$E$102:$E$121</c:f>
              <c:numCache>
                <c:formatCode>General</c:formatCode>
                <c:ptCount val="20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</c:numCache>
            </c:numRef>
          </c:xVal>
          <c:yVal>
            <c:numRef>
              <c:f>'Run 2 (Ty)'!$G$102:$G$121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4.3E-3</c:v>
                </c:pt>
                <c:pt idx="4">
                  <c:v>4.0000000000000001E-3</c:v>
                </c:pt>
                <c:pt idx="5">
                  <c:v>3.0000000000000001E-3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0B-4FA2-8F14-45B570BFFAEB}"/>
            </c:ext>
          </c:extLst>
        </c:ser>
        <c:ser>
          <c:idx val="6"/>
          <c:order val="6"/>
          <c:tx>
            <c:strRef>
              <c:f>'Run 2 (Ty)'!$A$122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(Ty)'!$E$122:$E$141</c:f>
              <c:numCache>
                <c:formatCode>General</c:formatCode>
                <c:ptCount val="20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</c:numCache>
            </c:numRef>
          </c:xVal>
          <c:yVal>
            <c:numRef>
              <c:f>'Run 2 (Ty)'!$G$122:$G$141</c:f>
              <c:numCache>
                <c:formatCode>General</c:formatCode>
                <c:ptCount val="20"/>
                <c:pt idx="0">
                  <c:v>0.01</c:v>
                </c:pt>
                <c:pt idx="1">
                  <c:v>8.0000000000000002E-3</c:v>
                </c:pt>
                <c:pt idx="2">
                  <c:v>8.9999999999999993E-3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1.0999999999999999E-2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1.2E-2</c:v>
                </c:pt>
                <c:pt idx="13">
                  <c:v>1.2E-2</c:v>
                </c:pt>
                <c:pt idx="14">
                  <c:v>1.2999999999999999E-2</c:v>
                </c:pt>
                <c:pt idx="15">
                  <c:v>1.4E-2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1.4999999999999999E-2</c:v>
                </c:pt>
                <c:pt idx="19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0B-4FA2-8F14-45B570BFFAEB}"/>
            </c:ext>
          </c:extLst>
        </c:ser>
        <c:ser>
          <c:idx val="7"/>
          <c:order val="7"/>
          <c:tx>
            <c:strRef>
              <c:f>'Run 2 (Ty)'!$A$142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(Ty)'!$E$142:$E$161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2 (Ty)'!$G$142:$G$161</c:f>
              <c:numCache>
                <c:formatCode>General</c:formatCode>
                <c:ptCount val="20"/>
                <c:pt idx="0">
                  <c:v>5.0000000000000001E-3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5.3E-3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5.0000000000000001E-3</c:v>
                </c:pt>
                <c:pt idx="12">
                  <c:v>4.5999999999999999E-3</c:v>
                </c:pt>
                <c:pt idx="13">
                  <c:v>5.0000000000000001E-3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6.1999999999999998E-3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0B-4FA2-8F14-45B570BFFAEB}"/>
            </c:ext>
          </c:extLst>
        </c:ser>
        <c:ser>
          <c:idx val="8"/>
          <c:order val="8"/>
          <c:tx>
            <c:strRef>
              <c:f>'Run 2 (Ty)'!$A$162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(Ty)'!$E$162:$E$181</c:f>
              <c:numCache>
                <c:formatCode>General</c:formatCode>
                <c:ptCount val="20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</c:numCache>
            </c:numRef>
          </c:xVal>
          <c:yVal>
            <c:numRef>
              <c:f>'Run 2 (Ty)'!$G$162:$G$181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3.5999999999999999E-3</c:v>
                </c:pt>
                <c:pt idx="4">
                  <c:v>4.4000000000000003E-3</c:v>
                </c:pt>
                <c:pt idx="5">
                  <c:v>4.4000000000000003E-3</c:v>
                </c:pt>
                <c:pt idx="6">
                  <c:v>4.0000000000000001E-3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3.0000000000000001E-3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3.8E-3</c:v>
                </c:pt>
                <c:pt idx="16">
                  <c:v>4.0000000000000001E-3</c:v>
                </c:pt>
                <c:pt idx="17">
                  <c:v>5.0000000000000001E-3</c:v>
                </c:pt>
                <c:pt idx="18">
                  <c:v>4.0000000000000001E-3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0B-4FA2-8F14-45B570BFFAEB}"/>
            </c:ext>
          </c:extLst>
        </c:ser>
        <c:ser>
          <c:idx val="9"/>
          <c:order val="9"/>
          <c:tx>
            <c:strRef>
              <c:f>'Run 2 (Ty)'!$A$182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(Ty)'!$E$182:$E$201</c:f>
              <c:numCache>
                <c:formatCode>General</c:formatCode>
                <c:ptCount val="20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</c:numCache>
            </c:numRef>
          </c:xVal>
          <c:yVal>
            <c:numRef>
              <c:f>'Run 2 (Ty)'!$G$182:$G$201</c:f>
              <c:numCache>
                <c:formatCode>General</c:formatCode>
                <c:ptCount val="20"/>
                <c:pt idx="0">
                  <c:v>8.9999999999999993E-3</c:v>
                </c:pt>
                <c:pt idx="1">
                  <c:v>0.01</c:v>
                </c:pt>
                <c:pt idx="2">
                  <c:v>0.01</c:v>
                </c:pt>
                <c:pt idx="3">
                  <c:v>1.0999999999999999E-2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1.2E-2</c:v>
                </c:pt>
                <c:pt idx="8">
                  <c:v>1.2999999999999999E-2</c:v>
                </c:pt>
                <c:pt idx="9">
                  <c:v>1.2E-2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1.4E-2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0B-4FA2-8F14-45B570BFFAEB}"/>
            </c:ext>
          </c:extLst>
        </c:ser>
        <c:ser>
          <c:idx val="10"/>
          <c:order val="10"/>
          <c:tx>
            <c:strRef>
              <c:f>'Run 2 (Ty)'!$A$202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(Ty)'!$E$202:$E$221</c:f>
              <c:numCache>
                <c:formatCode>General</c:formatCode>
                <c:ptCount val="20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</c:numCache>
            </c:numRef>
          </c:xVal>
          <c:yVal>
            <c:numRef>
              <c:f>'Run 2 (Ty)'!$G$202:$G$221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3.8999999999999998E-3</c:v>
                </c:pt>
                <c:pt idx="8">
                  <c:v>4.0000000000000001E-3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4.4999999999999997E-3</c:v>
                </c:pt>
                <c:pt idx="13">
                  <c:v>4.0000000000000001E-3</c:v>
                </c:pt>
                <c:pt idx="14">
                  <c:v>5.1999999999999998E-3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6.0000000000000001E-3</c:v>
                </c:pt>
                <c:pt idx="18">
                  <c:v>5.0000000000000001E-3</c:v>
                </c:pt>
                <c:pt idx="1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0B-4FA2-8F14-45B570BFFAEB}"/>
            </c:ext>
          </c:extLst>
        </c:ser>
        <c:ser>
          <c:idx val="11"/>
          <c:order val="11"/>
          <c:tx>
            <c:strRef>
              <c:f>'Run 2 (Ty)'!$A$222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(Ty)'!$E$222:$E$241</c:f>
              <c:numCache>
                <c:formatCode>General</c:formatCode>
                <c:ptCount val="20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</c:numCache>
            </c:numRef>
          </c:xVal>
          <c:yVal>
            <c:numRef>
              <c:f>'Run 2 (Ty)'!$G$222:$G$241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6.0000000000000001E-3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5.7000000000000002E-3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7.7000000000000002E-3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0B-4FA2-8F14-45B570BFF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  <c:max val="300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46671624795122524"/>
              <c:y val="0.909848804110753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  <c:max val="5.000000000000001E-2"/>
          <c:min val="5.0000000000000012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5374747083852661"/>
              <c:y val="0.397485983798461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241944564105636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143112900395609"/>
          <c:y val="0.12039579559597302"/>
          <c:w val="0.7526801306850941"/>
          <c:h val="0.762918544469198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2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(Ty)'!$I$2:$I$21</c:f>
              <c:numCache>
                <c:formatCode>General</c:formatCode>
                <c:ptCount val="20"/>
                <c:pt idx="0">
                  <c:v>1.6040219106949964E-2</c:v>
                </c:pt>
                <c:pt idx="1">
                  <c:v>1.7163537422786833E-2</c:v>
                </c:pt>
                <c:pt idx="2">
                  <c:v>2.032511562514221E-2</c:v>
                </c:pt>
                <c:pt idx="3">
                  <c:v>2.3699860842656396E-2</c:v>
                </c:pt>
                <c:pt idx="4">
                  <c:v>2.7031493630138462E-2</c:v>
                </c:pt>
                <c:pt idx="5">
                  <c:v>3.034157020260447E-2</c:v>
                </c:pt>
                <c:pt idx="6">
                  <c:v>3.3553446239997314E-2</c:v>
                </c:pt>
                <c:pt idx="7">
                  <c:v>3.6700653632341984E-2</c:v>
                </c:pt>
                <c:pt idx="8">
                  <c:v>3.9337697269306589E-2</c:v>
                </c:pt>
                <c:pt idx="9">
                  <c:v>4.254957330669943E-2</c:v>
                </c:pt>
                <c:pt idx="10">
                  <c:v>4.5318349368762174E-2</c:v>
                </c:pt>
                <c:pt idx="11">
                  <c:v>4.8290711905976579E-2</c:v>
                </c:pt>
                <c:pt idx="12">
                  <c:v>5.2096581423811947E-2</c:v>
                </c:pt>
                <c:pt idx="13">
                  <c:v>5.7145526007573416E-2</c:v>
                </c:pt>
                <c:pt idx="14">
                  <c:v>6.3480658087293099E-2</c:v>
                </c:pt>
                <c:pt idx="15">
                  <c:v>7.0963059832867464E-2</c:v>
                </c:pt>
                <c:pt idx="16">
                  <c:v>8.3441713192164077E-2</c:v>
                </c:pt>
                <c:pt idx="17">
                  <c:v>0.10142438678556116</c:v>
                </c:pt>
                <c:pt idx="18">
                  <c:v>0.13379224119967523</c:v>
                </c:pt>
                <c:pt idx="19">
                  <c:v>0.20555767125814045</c:v>
                </c:pt>
              </c:numCache>
            </c:numRef>
          </c:xVal>
          <c:yVal>
            <c:numRef>
              <c:f>'Run 2 (Ty)'!$G$2:$G$21</c:f>
              <c:numCache>
                <c:formatCode>General</c:formatCode>
                <c:ptCount val="20"/>
                <c:pt idx="0">
                  <c:v>7.0000000000000001E-3</c:v>
                </c:pt>
                <c:pt idx="1">
                  <c:v>7.0000000000000001E-3</c:v>
                </c:pt>
                <c:pt idx="2">
                  <c:v>8.0000000000000002E-3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8.0000000000000002E-3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0.01</c:v>
                </c:pt>
                <c:pt idx="17">
                  <c:v>0.01</c:v>
                </c:pt>
                <c:pt idx="18">
                  <c:v>1.2E-2</c:v>
                </c:pt>
                <c:pt idx="19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E-4395-8F0C-E3A4C4933CCF}"/>
            </c:ext>
          </c:extLst>
        </c:ser>
        <c:ser>
          <c:idx val="2"/>
          <c:order val="1"/>
          <c:tx>
            <c:strRef>
              <c:f>'Run 2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(Ty)'!$I$22:$I$41</c:f>
              <c:numCache>
                <c:formatCode>General</c:formatCode>
                <c:ptCount val="20"/>
                <c:pt idx="0">
                  <c:v>1.8836175502925885E-2</c:v>
                </c:pt>
                <c:pt idx="1">
                  <c:v>2.2075997689429135E-2</c:v>
                </c:pt>
                <c:pt idx="2">
                  <c:v>3.1820579149609458E-2</c:v>
                </c:pt>
                <c:pt idx="3">
                  <c:v>4.1213552000401839E-2</c:v>
                </c:pt>
                <c:pt idx="4">
                  <c:v>4.997865233443001E-2</c:v>
                </c:pt>
                <c:pt idx="5">
                  <c:v>5.801542054901173E-2</c:v>
                </c:pt>
                <c:pt idx="6">
                  <c:v>6.5148052339452991E-2</c:v>
                </c:pt>
                <c:pt idx="7">
                  <c:v>7.2305799030564832E-2</c:v>
                </c:pt>
                <c:pt idx="8">
                  <c:v>7.783107717808975E-2</c:v>
                </c:pt>
                <c:pt idx="9">
                  <c:v>8.4310721551096257E-2</c:v>
                </c:pt>
                <c:pt idx="10">
                  <c:v>8.9760654996609485E-2</c:v>
                </c:pt>
                <c:pt idx="11">
                  <c:v>9.5587311952181231E-2</c:v>
                </c:pt>
                <c:pt idx="12">
                  <c:v>0.10302132255066931</c:v>
                </c:pt>
                <c:pt idx="13">
                  <c:v>0.11178642288469748</c:v>
                </c:pt>
                <c:pt idx="14">
                  <c:v>0.1223849109676771</c:v>
                </c:pt>
                <c:pt idx="15">
                  <c:v>0.13426425898485572</c:v>
                </c:pt>
                <c:pt idx="16">
                  <c:v>0.15282417058040534</c:v>
                </c:pt>
                <c:pt idx="17">
                  <c:v>0.17813999045633774</c:v>
                </c:pt>
                <c:pt idx="18">
                  <c:v>0.21940377225808072</c:v>
                </c:pt>
                <c:pt idx="19">
                  <c:v>0.30343822990180069</c:v>
                </c:pt>
              </c:numCache>
            </c:numRef>
          </c:xVal>
          <c:yVal>
            <c:numRef>
              <c:f>'Run 2 (Ty)'!$G$22:$G$41</c:f>
              <c:numCache>
                <c:formatCode>General</c:formatCode>
                <c:ptCount val="2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1E-3</c:v>
                </c:pt>
                <c:pt idx="7">
                  <c:v>2E-3</c:v>
                </c:pt>
                <c:pt idx="8">
                  <c:v>1E-3</c:v>
                </c:pt>
                <c:pt idx="9">
                  <c:v>2E-3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E-4395-8F0C-E3A4C4933CCF}"/>
            </c:ext>
          </c:extLst>
        </c:ser>
        <c:ser>
          <c:idx val="3"/>
          <c:order val="2"/>
          <c:tx>
            <c:strRef>
              <c:f>'Run 2 (Ty)'!$A$42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(Ty)'!$I$42:$I$61</c:f>
              <c:numCache>
                <c:formatCode>General</c:formatCode>
                <c:ptCount val="20"/>
                <c:pt idx="0">
                  <c:v>0.29864603481624757</c:v>
                </c:pt>
                <c:pt idx="1">
                  <c:v>0.33655705996131524</c:v>
                </c:pt>
                <c:pt idx="2">
                  <c:v>0.40735009671179878</c:v>
                </c:pt>
                <c:pt idx="3">
                  <c:v>0.46847195357833649</c:v>
                </c:pt>
                <c:pt idx="4">
                  <c:v>0.51914893617021274</c:v>
                </c:pt>
                <c:pt idx="5">
                  <c:v>0.56885880077369433</c:v>
                </c:pt>
                <c:pt idx="6">
                  <c:v>0.61760154738878137</c:v>
                </c:pt>
                <c:pt idx="7">
                  <c:v>0.65261121856866533</c:v>
                </c:pt>
                <c:pt idx="8">
                  <c:v>0.68239845261121856</c:v>
                </c:pt>
                <c:pt idx="9">
                  <c:v>0.7135396518375241</c:v>
                </c:pt>
                <c:pt idx="10">
                  <c:v>0.74216634429400374</c:v>
                </c:pt>
                <c:pt idx="11">
                  <c:v>0.77678916827852984</c:v>
                </c:pt>
                <c:pt idx="12">
                  <c:v>0.81605415860734998</c:v>
                </c:pt>
                <c:pt idx="13">
                  <c:v>0.86170212765957432</c:v>
                </c:pt>
                <c:pt idx="14">
                  <c:v>0.92301740812379107</c:v>
                </c:pt>
                <c:pt idx="15">
                  <c:v>0.98355899419729209</c:v>
                </c:pt>
                <c:pt idx="16">
                  <c:v>1.0528046421663442</c:v>
                </c:pt>
                <c:pt idx="17">
                  <c:v>1.1381044487427465</c:v>
                </c:pt>
                <c:pt idx="18">
                  <c:v>1.3085106382978724</c:v>
                </c:pt>
                <c:pt idx="19">
                  <c:v>1.6156673114119922</c:v>
                </c:pt>
              </c:numCache>
            </c:numRef>
          </c:xVal>
          <c:yVal>
            <c:numRef>
              <c:f>'Run 2 (Ty)'!$G$42:$G$61</c:f>
              <c:numCache>
                <c:formatCode>General</c:formatCode>
                <c:ptCount val="20"/>
                <c:pt idx="0">
                  <c:v>2E-3</c:v>
                </c:pt>
                <c:pt idx="1">
                  <c:v>1E-3</c:v>
                </c:pt>
                <c:pt idx="2">
                  <c:v>2E-3</c:v>
                </c:pt>
                <c:pt idx="3">
                  <c:v>2E-3</c:v>
                </c:pt>
                <c:pt idx="4">
                  <c:v>1E-3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2.3999999999999998E-3</c:v>
                </c:pt>
                <c:pt idx="9">
                  <c:v>1.6000000000000001E-3</c:v>
                </c:pt>
                <c:pt idx="10">
                  <c:v>2E-3</c:v>
                </c:pt>
                <c:pt idx="11">
                  <c:v>2E-3</c:v>
                </c:pt>
                <c:pt idx="12">
                  <c:v>4.0000000000000001E-3</c:v>
                </c:pt>
                <c:pt idx="13">
                  <c:v>2E-3</c:v>
                </c:pt>
                <c:pt idx="14">
                  <c:v>2E-3</c:v>
                </c:pt>
                <c:pt idx="15">
                  <c:v>2.3999999999999998E-3</c:v>
                </c:pt>
                <c:pt idx="16">
                  <c:v>3.0000000000000001E-3</c:v>
                </c:pt>
                <c:pt idx="17">
                  <c:v>2.2000000000000001E-3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5E-4395-8F0C-E3A4C4933CCF}"/>
            </c:ext>
          </c:extLst>
        </c:ser>
        <c:ser>
          <c:idx val="4"/>
          <c:order val="3"/>
          <c:tx>
            <c:strRef>
              <c:f>'Run 2 (Ty)'!$A$62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(Ty)'!$I$62:$I$81</c:f>
              <c:numCache>
                <c:formatCode>General</c:formatCode>
                <c:ptCount val="20"/>
                <c:pt idx="0">
                  <c:v>0.13028021748222501</c:v>
                </c:pt>
                <c:pt idx="1">
                  <c:v>0.15181932245922208</c:v>
                </c:pt>
                <c:pt idx="2">
                  <c:v>0.20242576327896278</c:v>
                </c:pt>
                <c:pt idx="3">
                  <c:v>0.2425763278962777</c:v>
                </c:pt>
                <c:pt idx="4">
                  <c:v>0.28262233375156837</c:v>
                </c:pt>
                <c:pt idx="5">
                  <c:v>0.31534922626516104</c:v>
                </c:pt>
                <c:pt idx="6">
                  <c:v>0.34995817649519029</c:v>
                </c:pt>
                <c:pt idx="7">
                  <c:v>0.39397741530740277</c:v>
                </c:pt>
                <c:pt idx="8">
                  <c:v>0.40892931827687157</c:v>
                </c:pt>
                <c:pt idx="9">
                  <c:v>0.42471769134253445</c:v>
                </c:pt>
                <c:pt idx="10">
                  <c:v>0.44102885821831866</c:v>
                </c:pt>
                <c:pt idx="11">
                  <c:v>0.46309075700543706</c:v>
                </c:pt>
                <c:pt idx="12">
                  <c:v>0.56168966959431199</c:v>
                </c:pt>
                <c:pt idx="13">
                  <c:v>0.62923462986198242</c:v>
                </c:pt>
                <c:pt idx="14">
                  <c:v>0.66206608113759935</c:v>
                </c:pt>
                <c:pt idx="15">
                  <c:v>0.7030531158511083</c:v>
                </c:pt>
                <c:pt idx="16">
                  <c:v>0.75439146800501888</c:v>
                </c:pt>
                <c:pt idx="17">
                  <c:v>0.82883730656629018</c:v>
                </c:pt>
                <c:pt idx="18">
                  <c:v>1.0391049769970724</c:v>
                </c:pt>
                <c:pt idx="19">
                  <c:v>1.3730656629025511</c:v>
                </c:pt>
              </c:numCache>
            </c:numRef>
          </c:xVal>
          <c:yVal>
            <c:numRef>
              <c:f>'Run 2 (Ty)'!$G$62:$G$81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2E-3</c:v>
                </c:pt>
                <c:pt idx="2">
                  <c:v>1.6999999999999999E-3</c:v>
                </c:pt>
                <c:pt idx="3">
                  <c:v>2.3E-3</c:v>
                </c:pt>
                <c:pt idx="4">
                  <c:v>2E-3</c:v>
                </c:pt>
                <c:pt idx="5">
                  <c:v>2E-3</c:v>
                </c:pt>
                <c:pt idx="6">
                  <c:v>3.0000000000000001E-3</c:v>
                </c:pt>
                <c:pt idx="7">
                  <c:v>2.0999999999999999E-3</c:v>
                </c:pt>
                <c:pt idx="8">
                  <c:v>2E-3</c:v>
                </c:pt>
                <c:pt idx="9">
                  <c:v>1E-3</c:v>
                </c:pt>
                <c:pt idx="10">
                  <c:v>3.0000000000000001E-3</c:v>
                </c:pt>
                <c:pt idx="11">
                  <c:v>1.4E-3</c:v>
                </c:pt>
                <c:pt idx="12">
                  <c:v>2E-3</c:v>
                </c:pt>
                <c:pt idx="13">
                  <c:v>2.2000000000000001E-3</c:v>
                </c:pt>
                <c:pt idx="14">
                  <c:v>2E-3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3.2000000000000002E-3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E-4395-8F0C-E3A4C4933CCF}"/>
            </c:ext>
          </c:extLst>
        </c:ser>
        <c:ser>
          <c:idx val="5"/>
          <c:order val="4"/>
          <c:tx>
            <c:strRef>
              <c:f>'Run 2 (Ty)'!$A$82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(Ty)'!$I$82:$I$101</c:f>
              <c:numCache>
                <c:formatCode>General</c:formatCode>
                <c:ptCount val="20"/>
                <c:pt idx="0">
                  <c:v>1.0631968946404275E-2</c:v>
                </c:pt>
                <c:pt idx="1">
                  <c:v>1.3718479598989227E-2</c:v>
                </c:pt>
                <c:pt idx="2">
                  <c:v>1.9797256304080201E-2</c:v>
                </c:pt>
                <c:pt idx="3">
                  <c:v>2.5275223683667997E-2</c:v>
                </c:pt>
                <c:pt idx="4">
                  <c:v>3.0441005825494343E-2</c:v>
                </c:pt>
                <c:pt idx="5">
                  <c:v>3.5412408479657889E-2</c:v>
                </c:pt>
                <c:pt idx="6">
                  <c:v>4.005395503354519E-2</c:v>
                </c:pt>
                <c:pt idx="7">
                  <c:v>4.4613037562363414E-2</c:v>
                </c:pt>
                <c:pt idx="8">
                  <c:v>4.8318028402966347E-2</c:v>
                </c:pt>
                <c:pt idx="9">
                  <c:v>5.2665060581606984E-2</c:v>
                </c:pt>
                <c:pt idx="10">
                  <c:v>5.6428954297259248E-2</c:v>
                </c:pt>
                <c:pt idx="11">
                  <c:v>6.0404898363089099E-2</c:v>
                </c:pt>
                <c:pt idx="12">
                  <c:v>6.5594241654935173E-2</c:v>
                </c:pt>
                <c:pt idx="13">
                  <c:v>7.2120680210401064E-2</c:v>
                </c:pt>
                <c:pt idx="14">
                  <c:v>8.048488846740609E-2</c:v>
                </c:pt>
                <c:pt idx="15">
                  <c:v>9.0527828663317059E-2</c:v>
                </c:pt>
                <c:pt idx="16">
                  <c:v>0.10613120026388488</c:v>
                </c:pt>
                <c:pt idx="17">
                  <c:v>0.12765431080691048</c:v>
                </c:pt>
                <c:pt idx="18">
                  <c:v>0.16382067608719983</c:v>
                </c:pt>
                <c:pt idx="19">
                  <c:v>0.23577053795995781</c:v>
                </c:pt>
              </c:numCache>
            </c:numRef>
          </c:xVal>
          <c:yVal>
            <c:numRef>
              <c:f>'Run 2 (Ty)'!$G$82:$G$101</c:f>
              <c:numCache>
                <c:formatCode>General</c:formatCode>
                <c:ptCount val="20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2.8999999999999998E-3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2.5000000000000001E-3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3.0000000000000001E-3</c:v>
                </c:pt>
                <c:pt idx="11">
                  <c:v>2E-3</c:v>
                </c:pt>
                <c:pt idx="12">
                  <c:v>2.8999999999999998E-3</c:v>
                </c:pt>
                <c:pt idx="13">
                  <c:v>2E-3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5E-4395-8F0C-E3A4C4933CCF}"/>
            </c:ext>
          </c:extLst>
        </c:ser>
        <c:ser>
          <c:idx val="0"/>
          <c:order val="5"/>
          <c:tx>
            <c:strRef>
              <c:f>'Run 2 (Ty)'!$A$102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(Ty)'!$I$102:$I$121</c:f>
              <c:numCache>
                <c:formatCode>General</c:formatCode>
                <c:ptCount val="20"/>
                <c:pt idx="0">
                  <c:v>1.5421394307475819E-2</c:v>
                </c:pt>
                <c:pt idx="1">
                  <c:v>1.9920172836793728E-2</c:v>
                </c:pt>
                <c:pt idx="2">
                  <c:v>2.8797413725459423E-2</c:v>
                </c:pt>
                <c:pt idx="3">
                  <c:v>3.6293634228381014E-2</c:v>
                </c:pt>
                <c:pt idx="4">
                  <c:v>4.2979028368460417E-2</c:v>
                </c:pt>
                <c:pt idx="5">
                  <c:v>4.9026223693915662E-2</c:v>
                </c:pt>
                <c:pt idx="6">
                  <c:v>5.4560767512541651E-2</c:v>
                </c:pt>
                <c:pt idx="7">
                  <c:v>5.9995919712496661E-2</c:v>
                </c:pt>
                <c:pt idx="8">
                  <c:v>6.4154674283203331E-2</c:v>
                </c:pt>
                <c:pt idx="9">
                  <c:v>6.8836542636388845E-2</c:v>
                </c:pt>
                <c:pt idx="10">
                  <c:v>7.2801745107578336E-2</c:v>
                </c:pt>
                <c:pt idx="11">
                  <c:v>7.7002348780883315E-2</c:v>
                </c:pt>
                <c:pt idx="12">
                  <c:v>8.2223024330022015E-2</c:v>
                </c:pt>
                <c:pt idx="13">
                  <c:v>8.8610243614088494E-2</c:v>
                </c:pt>
                <c:pt idx="14">
                  <c:v>9.6462181489095689E-2</c:v>
                </c:pt>
                <c:pt idx="15">
                  <c:v>0.1055538990285777</c:v>
                </c:pt>
                <c:pt idx="16">
                  <c:v>0.11980874960112574</c:v>
                </c:pt>
                <c:pt idx="17">
                  <c:v>0.13932089368758596</c:v>
                </c:pt>
                <c:pt idx="18">
                  <c:v>0.17308788834659425</c:v>
                </c:pt>
                <c:pt idx="19">
                  <c:v>0.24497941547265945</c:v>
                </c:pt>
              </c:numCache>
            </c:numRef>
          </c:xVal>
          <c:yVal>
            <c:numRef>
              <c:f>'Run 2 (Ty)'!$G$102:$G$121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4.3E-3</c:v>
                </c:pt>
                <c:pt idx="4">
                  <c:v>4.0000000000000001E-3</c:v>
                </c:pt>
                <c:pt idx="5">
                  <c:v>3.0000000000000001E-3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5E-4395-8F0C-E3A4C4933CCF}"/>
            </c:ext>
          </c:extLst>
        </c:ser>
        <c:ser>
          <c:idx val="6"/>
          <c:order val="6"/>
          <c:tx>
            <c:strRef>
              <c:f>'Run 2 (Ty)'!$A$122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(Ty)'!$I$122:$I$141</c:f>
              <c:numCache>
                <c:formatCode>General</c:formatCode>
                <c:ptCount val="20"/>
                <c:pt idx="0">
                  <c:v>5.4618860204710649E-3</c:v>
                </c:pt>
                <c:pt idx="1">
                  <c:v>5.6698481943870541E-3</c:v>
                </c:pt>
                <c:pt idx="2">
                  <c:v>6.1609640774134113E-3</c:v>
                </c:pt>
                <c:pt idx="3">
                  <c:v>6.6344675287726166E-3</c:v>
                </c:pt>
                <c:pt idx="4">
                  <c:v>7.259708852956518E-3</c:v>
                </c:pt>
                <c:pt idx="5">
                  <c:v>7.9045948124614723E-3</c:v>
                </c:pt>
                <c:pt idx="6">
                  <c:v>9.2512684337806433E-3</c:v>
                </c:pt>
                <c:pt idx="7">
                  <c:v>1.1479241039675391E-2</c:v>
                </c:pt>
                <c:pt idx="8">
                  <c:v>1.1820651253530955E-2</c:v>
                </c:pt>
                <c:pt idx="9">
                  <c:v>1.2042838853024259E-2</c:v>
                </c:pt>
                <c:pt idx="10">
                  <c:v>1.229686430976203E-2</c:v>
                </c:pt>
                <c:pt idx="11">
                  <c:v>1.3372577443894244E-2</c:v>
                </c:pt>
                <c:pt idx="12">
                  <c:v>2.7873027915704195E-2</c:v>
                </c:pt>
                <c:pt idx="13">
                  <c:v>3.3613325836759855E-2</c:v>
                </c:pt>
                <c:pt idx="14">
                  <c:v>3.4351693164344312E-2</c:v>
                </c:pt>
                <c:pt idx="15">
                  <c:v>3.5666528928419011E-2</c:v>
                </c:pt>
                <c:pt idx="16">
                  <c:v>3.7087716683714599E-2</c:v>
                </c:pt>
                <c:pt idx="17">
                  <c:v>4.0009348136807954E-2</c:v>
                </c:pt>
                <c:pt idx="18">
                  <c:v>5.406813301450316E-2</c:v>
                </c:pt>
                <c:pt idx="19">
                  <c:v>7.138183074453168E-2</c:v>
                </c:pt>
              </c:numCache>
            </c:numRef>
          </c:xVal>
          <c:yVal>
            <c:numRef>
              <c:f>'Run 2 (Ty)'!$G$122:$G$141</c:f>
              <c:numCache>
                <c:formatCode>General</c:formatCode>
                <c:ptCount val="20"/>
                <c:pt idx="0">
                  <c:v>0.01</c:v>
                </c:pt>
                <c:pt idx="1">
                  <c:v>8.0000000000000002E-3</c:v>
                </c:pt>
                <c:pt idx="2">
                  <c:v>8.9999999999999993E-3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1.0999999999999999E-2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1.2E-2</c:v>
                </c:pt>
                <c:pt idx="13">
                  <c:v>1.2E-2</c:v>
                </c:pt>
                <c:pt idx="14">
                  <c:v>1.2999999999999999E-2</c:v>
                </c:pt>
                <c:pt idx="15">
                  <c:v>1.4E-2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1.4999999999999999E-2</c:v>
                </c:pt>
                <c:pt idx="19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5E-4395-8F0C-E3A4C4933CCF}"/>
            </c:ext>
          </c:extLst>
        </c:ser>
        <c:ser>
          <c:idx val="7"/>
          <c:order val="7"/>
          <c:tx>
            <c:strRef>
              <c:f>'Run 2 (Ty)'!$A$142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(Ty)'!$I$142:$I$161</c:f>
              <c:numCache>
                <c:formatCode>General</c:formatCode>
                <c:ptCount val="20"/>
                <c:pt idx="0">
                  <c:v>0.10784479360252294</c:v>
                </c:pt>
                <c:pt idx="1">
                  <c:v>0.1291040153179028</c:v>
                </c:pt>
                <c:pt idx="2">
                  <c:v>0.17624035591597681</c:v>
                </c:pt>
                <c:pt idx="3">
                  <c:v>0.21839274652249818</c:v>
                </c:pt>
                <c:pt idx="4">
                  <c:v>0.25654671397195472</c:v>
                </c:pt>
                <c:pt idx="5">
                  <c:v>0.29436278650672976</c:v>
                </c:pt>
                <c:pt idx="6">
                  <c:v>0.32739201441684967</c:v>
                </c:pt>
                <c:pt idx="7">
                  <c:v>0.36850256236976969</c:v>
                </c:pt>
                <c:pt idx="8">
                  <c:v>0.39226783803570425</c:v>
                </c:pt>
                <c:pt idx="9">
                  <c:v>0.41665258771188829</c:v>
                </c:pt>
                <c:pt idx="10">
                  <c:v>0.44236075913724165</c:v>
                </c:pt>
                <c:pt idx="11">
                  <c:v>0.47426367066508984</c:v>
                </c:pt>
                <c:pt idx="12">
                  <c:v>0.51911922058906357</c:v>
                </c:pt>
                <c:pt idx="13">
                  <c:v>0.58120741116179531</c:v>
                </c:pt>
                <c:pt idx="14">
                  <c:v>0.62870980458410775</c:v>
                </c:pt>
                <c:pt idx="15">
                  <c:v>0.69499352368080192</c:v>
                </c:pt>
                <c:pt idx="16">
                  <c:v>0.79523568170299042</c:v>
                </c:pt>
                <c:pt idx="17">
                  <c:v>0.88919862589401377</c:v>
                </c:pt>
                <c:pt idx="18">
                  <c:v>1.0519231852227291</c:v>
                </c:pt>
                <c:pt idx="19">
                  <c:v>1.4119783747254604</c:v>
                </c:pt>
              </c:numCache>
            </c:numRef>
          </c:xVal>
          <c:yVal>
            <c:numRef>
              <c:f>'Run 2 (Ty)'!$G$142:$G$161</c:f>
              <c:numCache>
                <c:formatCode>General</c:formatCode>
                <c:ptCount val="20"/>
                <c:pt idx="0">
                  <c:v>5.0000000000000001E-3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5.3E-3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5.0000000000000001E-3</c:v>
                </c:pt>
                <c:pt idx="12">
                  <c:v>4.5999999999999999E-3</c:v>
                </c:pt>
                <c:pt idx="13">
                  <c:v>5.0000000000000001E-3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6.1999999999999998E-3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5E-4395-8F0C-E3A4C4933CCF}"/>
            </c:ext>
          </c:extLst>
        </c:ser>
        <c:ser>
          <c:idx val="8"/>
          <c:order val="8"/>
          <c:tx>
            <c:strRef>
              <c:f>'Run 2 (Ty)'!$A$162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(Ty)'!$I$162:$I$181</c:f>
              <c:numCache>
                <c:formatCode>General</c:formatCode>
                <c:ptCount val="20"/>
                <c:pt idx="0">
                  <c:v>4.6560663670929828E-2</c:v>
                </c:pt>
                <c:pt idx="1">
                  <c:v>5.4631870031109572E-2</c:v>
                </c:pt>
                <c:pt idx="2">
                  <c:v>7.1361908053923256E-2</c:v>
                </c:pt>
                <c:pt idx="3">
                  <c:v>8.6329070169374356E-2</c:v>
                </c:pt>
                <c:pt idx="4">
                  <c:v>9.9153128240580701E-2</c:v>
                </c:pt>
                <c:pt idx="5">
                  <c:v>0.1115105426892499</c:v>
                </c:pt>
                <c:pt idx="6">
                  <c:v>0.12317663325267887</c:v>
                </c:pt>
                <c:pt idx="7">
                  <c:v>0.13441064638783268</c:v>
                </c:pt>
                <c:pt idx="8">
                  <c:v>0.14377808503283787</c:v>
                </c:pt>
                <c:pt idx="9">
                  <c:v>0.15508123055651574</c:v>
                </c:pt>
                <c:pt idx="10">
                  <c:v>0.16451780159004492</c:v>
                </c:pt>
                <c:pt idx="11">
                  <c:v>0.17428275146906325</c:v>
                </c:pt>
                <c:pt idx="12">
                  <c:v>0.18689941237469754</c:v>
                </c:pt>
                <c:pt idx="13">
                  <c:v>0.20285171102661598</c:v>
                </c:pt>
                <c:pt idx="14">
                  <c:v>0.22205323193916346</c:v>
                </c:pt>
                <c:pt idx="15">
                  <c:v>0.24424472865537503</c:v>
                </c:pt>
                <c:pt idx="16">
                  <c:v>0.28043553404770133</c:v>
                </c:pt>
                <c:pt idx="17">
                  <c:v>0.33287245074317318</c:v>
                </c:pt>
                <c:pt idx="18">
                  <c:v>0.43204286208088488</c:v>
                </c:pt>
                <c:pt idx="19">
                  <c:v>0.66973729692360862</c:v>
                </c:pt>
              </c:numCache>
            </c:numRef>
          </c:xVal>
          <c:yVal>
            <c:numRef>
              <c:f>'Run 2 (Ty)'!$G$162:$G$181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3.5999999999999999E-3</c:v>
                </c:pt>
                <c:pt idx="4">
                  <c:v>4.4000000000000003E-3</c:v>
                </c:pt>
                <c:pt idx="5">
                  <c:v>4.4000000000000003E-3</c:v>
                </c:pt>
                <c:pt idx="6">
                  <c:v>4.0000000000000001E-3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3.0000000000000001E-3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3.8E-3</c:v>
                </c:pt>
                <c:pt idx="16">
                  <c:v>4.0000000000000001E-3</c:v>
                </c:pt>
                <c:pt idx="17">
                  <c:v>5.0000000000000001E-3</c:v>
                </c:pt>
                <c:pt idx="18">
                  <c:v>4.0000000000000001E-3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65E-4395-8F0C-E3A4C4933CCF}"/>
            </c:ext>
          </c:extLst>
        </c:ser>
        <c:ser>
          <c:idx val="9"/>
          <c:order val="9"/>
          <c:tx>
            <c:strRef>
              <c:f>'Run 2 (Ty)'!$A$182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(Ty)'!$I$182:$I$201</c:f>
              <c:numCache>
                <c:formatCode>General</c:formatCode>
                <c:ptCount val="20"/>
                <c:pt idx="0">
                  <c:v>6.5707918142836825E-3</c:v>
                </c:pt>
                <c:pt idx="1">
                  <c:v>8.3706468504230365E-3</c:v>
                </c:pt>
                <c:pt idx="2">
                  <c:v>1.2084837728538238E-2</c:v>
                </c:pt>
                <c:pt idx="3">
                  <c:v>1.4979373132912893E-2</c:v>
                </c:pt>
                <c:pt idx="4">
                  <c:v>1.7489144645482072E-2</c:v>
                </c:pt>
                <c:pt idx="5">
                  <c:v>1.9935917844780288E-2</c:v>
                </c:pt>
                <c:pt idx="6">
                  <c:v>2.2110375754455607E-2</c:v>
                </c:pt>
                <c:pt idx="7">
                  <c:v>2.5695860401157001E-2</c:v>
                </c:pt>
                <c:pt idx="8">
                  <c:v>2.6872506316766357E-2</c:v>
                </c:pt>
                <c:pt idx="9">
                  <c:v>2.7908930180256464E-2</c:v>
                </c:pt>
                <c:pt idx="10">
                  <c:v>2.9015803770415179E-2</c:v>
                </c:pt>
                <c:pt idx="11">
                  <c:v>3.0596858213151071E-2</c:v>
                </c:pt>
                <c:pt idx="12">
                  <c:v>4.1652046090378869E-2</c:v>
                </c:pt>
                <c:pt idx="13">
                  <c:v>4.8839950414230851E-2</c:v>
                </c:pt>
                <c:pt idx="14">
                  <c:v>5.1468267139944318E-2</c:v>
                </c:pt>
                <c:pt idx="15">
                  <c:v>5.4450187301436768E-2</c:v>
                </c:pt>
                <c:pt idx="16">
                  <c:v>5.7974028437303135E-2</c:v>
                </c:pt>
                <c:pt idx="17">
                  <c:v>6.3341755688476734E-2</c:v>
                </c:pt>
                <c:pt idx="18">
                  <c:v>8.1372821308332718E-2</c:v>
                </c:pt>
                <c:pt idx="19">
                  <c:v>0.10727393427853384</c:v>
                </c:pt>
              </c:numCache>
            </c:numRef>
          </c:xVal>
          <c:yVal>
            <c:numRef>
              <c:f>'Run 2 (Ty)'!$G$182:$G$201</c:f>
              <c:numCache>
                <c:formatCode>General</c:formatCode>
                <c:ptCount val="20"/>
                <c:pt idx="0">
                  <c:v>8.9999999999999993E-3</c:v>
                </c:pt>
                <c:pt idx="1">
                  <c:v>0.01</c:v>
                </c:pt>
                <c:pt idx="2">
                  <c:v>0.01</c:v>
                </c:pt>
                <c:pt idx="3">
                  <c:v>1.0999999999999999E-2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1.2E-2</c:v>
                </c:pt>
                <c:pt idx="8">
                  <c:v>1.2999999999999999E-2</c:v>
                </c:pt>
                <c:pt idx="9">
                  <c:v>1.2E-2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1.4E-2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65E-4395-8F0C-E3A4C4933CCF}"/>
            </c:ext>
          </c:extLst>
        </c:ser>
        <c:ser>
          <c:idx val="10"/>
          <c:order val="10"/>
          <c:tx>
            <c:strRef>
              <c:f>'Run 2 (Ty)'!$A$202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(Ty)'!$I$202:$I$221</c:f>
              <c:numCache>
                <c:formatCode>General</c:formatCode>
                <c:ptCount val="20"/>
                <c:pt idx="0">
                  <c:v>1.9402120883951834E-2</c:v>
                </c:pt>
                <c:pt idx="1">
                  <c:v>2.433440914403354E-2</c:v>
                </c:pt>
                <c:pt idx="2">
                  <c:v>3.457426846659447E-2</c:v>
                </c:pt>
                <c:pt idx="3">
                  <c:v>4.3790141856899313E-2</c:v>
                </c:pt>
                <c:pt idx="4">
                  <c:v>5.1638913609898883E-2</c:v>
                </c:pt>
                <c:pt idx="5">
                  <c:v>5.9123124926283736E-2</c:v>
                </c:pt>
                <c:pt idx="6">
                  <c:v>6.6762810546518989E-2</c:v>
                </c:pt>
                <c:pt idx="7">
                  <c:v>7.4005768632791138E-2</c:v>
                </c:pt>
                <c:pt idx="8">
                  <c:v>7.9206116037442501E-2</c:v>
                </c:pt>
                <c:pt idx="9">
                  <c:v>8.4620910757749593E-2</c:v>
                </c:pt>
                <c:pt idx="10">
                  <c:v>8.9285139873261629E-2</c:v>
                </c:pt>
                <c:pt idx="11">
                  <c:v>9.4067315012384342E-2</c:v>
                </c:pt>
                <c:pt idx="12">
                  <c:v>9.9803780706175016E-2</c:v>
                </c:pt>
                <c:pt idx="13">
                  <c:v>0.10655350996643899</c:v>
                </c:pt>
                <c:pt idx="14">
                  <c:v>0.11445053236546111</c:v>
                </c:pt>
                <c:pt idx="15">
                  <c:v>0.12390765898587865</c:v>
                </c:pt>
                <c:pt idx="16">
                  <c:v>0.13710689126448861</c:v>
                </c:pt>
                <c:pt idx="17">
                  <c:v>0.15454145802729913</c:v>
                </c:pt>
                <c:pt idx="18">
                  <c:v>0.18682114021637736</c:v>
                </c:pt>
                <c:pt idx="19">
                  <c:v>0.25501538659489831</c:v>
                </c:pt>
              </c:numCache>
            </c:numRef>
          </c:xVal>
          <c:yVal>
            <c:numRef>
              <c:f>'Run 2 (Ty)'!$G$202:$G$221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3.8999999999999998E-3</c:v>
                </c:pt>
                <c:pt idx="8">
                  <c:v>4.0000000000000001E-3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4.4999999999999997E-3</c:v>
                </c:pt>
                <c:pt idx="13">
                  <c:v>4.0000000000000001E-3</c:v>
                </c:pt>
                <c:pt idx="14">
                  <c:v>5.1999999999999998E-3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6.0000000000000001E-3</c:v>
                </c:pt>
                <c:pt idx="18">
                  <c:v>5.0000000000000001E-3</c:v>
                </c:pt>
                <c:pt idx="1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65E-4395-8F0C-E3A4C4933CCF}"/>
            </c:ext>
          </c:extLst>
        </c:ser>
        <c:ser>
          <c:idx val="11"/>
          <c:order val="11"/>
          <c:tx>
            <c:strRef>
              <c:f>'Run 2 (Ty)'!$A$222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(Ty)'!$I$222:$I$241</c:f>
              <c:numCache>
                <c:formatCode>General</c:formatCode>
                <c:ptCount val="20"/>
                <c:pt idx="0">
                  <c:v>1.7256376441538761E-2</c:v>
                </c:pt>
                <c:pt idx="1">
                  <c:v>2.2311699729696866E-2</c:v>
                </c:pt>
                <c:pt idx="2">
                  <c:v>3.1664749291506492E-2</c:v>
                </c:pt>
                <c:pt idx="3">
                  <c:v>3.9680312765977339E-2</c:v>
                </c:pt>
                <c:pt idx="4">
                  <c:v>4.6849425255104424E-2</c:v>
                </c:pt>
                <c:pt idx="5">
                  <c:v>5.3611680088292785E-2</c:v>
                </c:pt>
                <c:pt idx="6">
                  <c:v>6.0224286128492191E-2</c:v>
                </c:pt>
                <c:pt idx="7">
                  <c:v>6.6397298839286537E-2</c:v>
                </c:pt>
                <c:pt idx="8">
                  <c:v>7.1340385532702943E-2</c:v>
                </c:pt>
                <c:pt idx="9">
                  <c:v>7.6751124704209805E-2</c:v>
                </c:pt>
                <c:pt idx="10">
                  <c:v>8.1572621753322666E-2</c:v>
                </c:pt>
                <c:pt idx="11">
                  <c:v>8.6796299933593335E-2</c:v>
                </c:pt>
                <c:pt idx="12">
                  <c:v>9.2945930020483167E-2</c:v>
                </c:pt>
                <c:pt idx="13">
                  <c:v>0.10082119775152688</c:v>
                </c:pt>
                <c:pt idx="14">
                  <c:v>0.11020698298680284</c:v>
                </c:pt>
                <c:pt idx="15">
                  <c:v>0.12113602139977737</c:v>
                </c:pt>
                <c:pt idx="16">
                  <c:v>0.13769559564896133</c:v>
                </c:pt>
                <c:pt idx="17">
                  <c:v>0.16023176856814164</c:v>
                </c:pt>
                <c:pt idx="18">
                  <c:v>0.19938363403387674</c:v>
                </c:pt>
                <c:pt idx="19">
                  <c:v>0.28236388974625171</c:v>
                </c:pt>
              </c:numCache>
            </c:numRef>
          </c:xVal>
          <c:yVal>
            <c:numRef>
              <c:f>'Run 2 (Ty)'!$G$222:$G$241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6.0000000000000001E-3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5.7000000000000002E-3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7.7000000000000002E-3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65E-4395-8F0C-E3A4C4933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3650514941250457"/>
              <c:y val="0.89257008100769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At val="0"/>
        <c:crossBetween val="midCat"/>
      </c:valAx>
      <c:valAx>
        <c:axId val="1231545280"/>
        <c:scaling>
          <c:logBase val="10"/>
          <c:orientation val="minMax"/>
          <c:max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4481169341024649"/>
              <c:y val="0.41476460150904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3.1047952459132597E-2"/>
          <c:y val="4.3693361224015487E-2"/>
          <c:w val="0.1451258454544449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034607233102114"/>
          <c:y val="0.12039579559597302"/>
          <c:w val="0.71376497936745364"/>
          <c:h val="0.76347189872231636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2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(Ty)'!$H$2:$H$21</c:f>
              <c:numCache>
                <c:formatCode>General</c:formatCode>
                <c:ptCount val="20"/>
                <c:pt idx="0">
                  <c:v>1.7870102248313226E-2</c:v>
                </c:pt>
                <c:pt idx="1">
                  <c:v>1.915389460926965E-2</c:v>
                </c:pt>
                <c:pt idx="2">
                  <c:v>2.2610074416844508E-2</c:v>
                </c:pt>
                <c:pt idx="3">
                  <c:v>2.6214752594529992E-2</c:v>
                </c:pt>
                <c:pt idx="4">
                  <c:v>2.9802664827202986E-2</c:v>
                </c:pt>
                <c:pt idx="5">
                  <c:v>3.3333093819833154E-2</c:v>
                </c:pt>
                <c:pt idx="6">
                  <c:v>3.6719814712356261E-2</c:v>
                </c:pt>
                <c:pt idx="7">
                  <c:v>3.9993964259795498E-2</c:v>
                </c:pt>
                <c:pt idx="8">
                  <c:v>4.2834594371911776E-2</c:v>
                </c:pt>
                <c:pt idx="9">
                  <c:v>4.6297959584491982E-2</c:v>
                </c:pt>
                <c:pt idx="10">
                  <c:v>4.9172121586633234E-2</c:v>
                </c:pt>
                <c:pt idx="11">
                  <c:v>5.2273821413943995E-2</c:v>
                </c:pt>
                <c:pt idx="12">
                  <c:v>5.623297957189357E-2</c:v>
                </c:pt>
                <c:pt idx="13">
                  <c:v>6.1794483046036887E-2</c:v>
                </c:pt>
                <c:pt idx="14">
                  <c:v>6.8278113495867196E-2</c:v>
                </c:pt>
                <c:pt idx="15">
                  <c:v>7.6117390356707462E-2</c:v>
                </c:pt>
                <c:pt idx="16">
                  <c:v>8.9144529631412672E-2</c:v>
                </c:pt>
                <c:pt idx="17">
                  <c:v>0.10767329400521661</c:v>
                </c:pt>
                <c:pt idx="18">
                  <c:v>0.14238598558607757</c:v>
                </c:pt>
                <c:pt idx="19">
                  <c:v>0.21966741155365221</c:v>
                </c:pt>
              </c:numCache>
            </c:numRef>
          </c:xVal>
          <c:yVal>
            <c:numRef>
              <c:f>'Run 2 (Ty)'!$F$2:$F$21</c:f>
              <c:numCache>
                <c:formatCode>General</c:formatCode>
                <c:ptCount val="20"/>
                <c:pt idx="0">
                  <c:v>5.0050999999999997</c:v>
                </c:pt>
                <c:pt idx="1">
                  <c:v>4.9889000000000001</c:v>
                </c:pt>
                <c:pt idx="2">
                  <c:v>5.0964</c:v>
                </c:pt>
                <c:pt idx="3">
                  <c:v>5.4250999999999996</c:v>
                </c:pt>
                <c:pt idx="4">
                  <c:v>5.3978000000000002</c:v>
                </c:pt>
                <c:pt idx="5">
                  <c:v>5.431</c:v>
                </c:pt>
                <c:pt idx="6">
                  <c:v>5.5503</c:v>
                </c:pt>
                <c:pt idx="7">
                  <c:v>5.5876999999999999</c:v>
                </c:pt>
                <c:pt idx="8">
                  <c:v>5.6307999999999998</c:v>
                </c:pt>
                <c:pt idx="9">
                  <c:v>5.7638999999999996</c:v>
                </c:pt>
                <c:pt idx="10">
                  <c:v>5.8063000000000002</c:v>
                </c:pt>
                <c:pt idx="11">
                  <c:v>5.8784999999999998</c:v>
                </c:pt>
                <c:pt idx="12">
                  <c:v>5.9813000000000001</c:v>
                </c:pt>
                <c:pt idx="13">
                  <c:v>6.0518999999999998</c:v>
                </c:pt>
                <c:pt idx="14">
                  <c:v>6.1664000000000003</c:v>
                </c:pt>
                <c:pt idx="15">
                  <c:v>6.3181000000000003</c:v>
                </c:pt>
                <c:pt idx="16">
                  <c:v>6.6096000000000004</c:v>
                </c:pt>
                <c:pt idx="17">
                  <c:v>6.9878999999999998</c:v>
                </c:pt>
                <c:pt idx="18">
                  <c:v>7.5930999999999997</c:v>
                </c:pt>
                <c:pt idx="19">
                  <c:v>8.8771000000000004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7-41D0-B850-C425D37B61DC}"/>
            </c:ext>
          </c:extLst>
        </c:ser>
        <c:ser>
          <c:idx val="2"/>
          <c:order val="1"/>
          <c:tx>
            <c:strRef>
              <c:f>'Run 2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(Ty)'!$H$22:$H$41</c:f>
              <c:numCache>
                <c:formatCode>General</c:formatCode>
                <c:ptCount val="20"/>
                <c:pt idx="0">
                  <c:v>2.0870482457241882E-2</c:v>
                </c:pt>
                <c:pt idx="1">
                  <c:v>2.4336338749780244E-2</c:v>
                </c:pt>
                <c:pt idx="2">
                  <c:v>3.5412009945500665E-2</c:v>
                </c:pt>
                <c:pt idx="3">
                  <c:v>4.5106361604339854E-2</c:v>
                </c:pt>
                <c:pt idx="4">
                  <c:v>5.4775598362508469E-2</c:v>
                </c:pt>
                <c:pt idx="5">
                  <c:v>6.3691388100560062E-2</c:v>
                </c:pt>
                <c:pt idx="6">
                  <c:v>7.1301203003742125E-2</c:v>
                </c:pt>
                <c:pt idx="7">
                  <c:v>7.8559409297536228E-2</c:v>
                </c:pt>
                <c:pt idx="8">
                  <c:v>8.4436296054449092E-2</c:v>
                </c:pt>
                <c:pt idx="9">
                  <c:v>9.1342893738855249E-2</c:v>
                </c:pt>
                <c:pt idx="10">
                  <c:v>9.7420699701132679E-2</c:v>
                </c:pt>
                <c:pt idx="11">
                  <c:v>0.10337293116005725</c:v>
                </c:pt>
                <c:pt idx="12">
                  <c:v>0.11098274606323931</c:v>
                </c:pt>
                <c:pt idx="13">
                  <c:v>0.12045106361604339</c:v>
                </c:pt>
                <c:pt idx="14">
                  <c:v>0.13102443679835246</c:v>
                </c:pt>
                <c:pt idx="15">
                  <c:v>0.14343119772961296</c:v>
                </c:pt>
                <c:pt idx="16">
                  <c:v>0.1626189818419268</c:v>
                </c:pt>
                <c:pt idx="17">
                  <c:v>0.18846221463194113</c:v>
                </c:pt>
                <c:pt idx="18">
                  <c:v>0.23188587789135293</c:v>
                </c:pt>
                <c:pt idx="19">
                  <c:v>0.32101866037119819</c:v>
                </c:pt>
              </c:numCache>
            </c:numRef>
          </c:xVal>
          <c:yVal>
            <c:numRef>
              <c:f>'Run 2 (Ty)'!$F$22:$F$41</c:f>
              <c:numCache>
                <c:formatCode>General</c:formatCode>
                <c:ptCount val="20"/>
                <c:pt idx="0">
                  <c:v>0.48809999999999998</c:v>
                </c:pt>
                <c:pt idx="1">
                  <c:v>0.50309999999999999</c:v>
                </c:pt>
                <c:pt idx="2">
                  <c:v>0.54510000000000003</c:v>
                </c:pt>
                <c:pt idx="3">
                  <c:v>0.54410000000000003</c:v>
                </c:pt>
                <c:pt idx="4">
                  <c:v>0.5796</c:v>
                </c:pt>
                <c:pt idx="5">
                  <c:v>0.59509999999999996</c:v>
                </c:pt>
                <c:pt idx="6">
                  <c:v>0.61860000000000004</c:v>
                </c:pt>
                <c:pt idx="7">
                  <c:v>0.61399999999999999</c:v>
                </c:pt>
                <c:pt idx="8">
                  <c:v>0.62209999999999999</c:v>
                </c:pt>
                <c:pt idx="9">
                  <c:v>0.63680000000000003</c:v>
                </c:pt>
                <c:pt idx="10">
                  <c:v>0.64900000000000002</c:v>
                </c:pt>
                <c:pt idx="11">
                  <c:v>0.65920000000000001</c:v>
                </c:pt>
                <c:pt idx="12">
                  <c:v>0.66920000000000002</c:v>
                </c:pt>
                <c:pt idx="13">
                  <c:v>0.70420000000000005</c:v>
                </c:pt>
                <c:pt idx="14">
                  <c:v>0.71419999999999995</c:v>
                </c:pt>
                <c:pt idx="15">
                  <c:v>0.74</c:v>
                </c:pt>
                <c:pt idx="16">
                  <c:v>0.76519999999999999</c:v>
                </c:pt>
                <c:pt idx="17">
                  <c:v>0.80620000000000003</c:v>
                </c:pt>
                <c:pt idx="18">
                  <c:v>0.8972</c:v>
                </c:pt>
                <c:pt idx="19">
                  <c:v>0.98219999999999996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7-41D0-B850-C425D37B61DC}"/>
            </c:ext>
          </c:extLst>
        </c:ser>
        <c:ser>
          <c:idx val="3"/>
          <c:order val="2"/>
          <c:tx>
            <c:strRef>
              <c:f>'Run 2 (Ty)'!$A$42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(Ty)'!$H$42:$H$61</c:f>
              <c:numCache>
                <c:formatCode>General</c:formatCode>
                <c:ptCount val="20"/>
                <c:pt idx="0">
                  <c:v>0.32456479690522244</c:v>
                </c:pt>
                <c:pt idx="1">
                  <c:v>0.37001934235976786</c:v>
                </c:pt>
                <c:pt idx="2">
                  <c:v>0.44700193423597673</c:v>
                </c:pt>
                <c:pt idx="3">
                  <c:v>0.5195357833655706</c:v>
                </c:pt>
                <c:pt idx="4">
                  <c:v>0.57466150870406185</c:v>
                </c:pt>
                <c:pt idx="5">
                  <c:v>0.63191489361702124</c:v>
                </c:pt>
                <c:pt idx="6">
                  <c:v>0.68007736943907149</c:v>
                </c:pt>
                <c:pt idx="7">
                  <c:v>0.71528046421663438</c:v>
                </c:pt>
                <c:pt idx="8">
                  <c:v>0.74932301740812379</c:v>
                </c:pt>
                <c:pt idx="9">
                  <c:v>0.7777562862669245</c:v>
                </c:pt>
                <c:pt idx="10">
                  <c:v>0.80715667311411987</c:v>
                </c:pt>
                <c:pt idx="11">
                  <c:v>0.83984526112185687</c:v>
                </c:pt>
                <c:pt idx="12">
                  <c:v>0.88143133462282397</c:v>
                </c:pt>
                <c:pt idx="13">
                  <c:v>0.9288201160541586</c:v>
                </c:pt>
                <c:pt idx="14">
                  <c:v>0.98916827852998057</c:v>
                </c:pt>
                <c:pt idx="15">
                  <c:v>1.0535783365570599</c:v>
                </c:pt>
                <c:pt idx="16">
                  <c:v>1.1249516441005802</c:v>
                </c:pt>
                <c:pt idx="17">
                  <c:v>1.2152804642166344</c:v>
                </c:pt>
                <c:pt idx="18">
                  <c:v>1.4048355899419727</c:v>
                </c:pt>
                <c:pt idx="19">
                  <c:v>1.7460348162475821</c:v>
                </c:pt>
              </c:numCache>
            </c:numRef>
          </c:xVal>
          <c:yVal>
            <c:numRef>
              <c:f>'Run 2 (Ty)'!$F$42:$F$61</c:f>
              <c:numCache>
                <c:formatCode>General</c:formatCode>
                <c:ptCount val="20"/>
                <c:pt idx="0">
                  <c:v>0.84850000000000003</c:v>
                </c:pt>
                <c:pt idx="1">
                  <c:v>0.86919999999999997</c:v>
                </c:pt>
                <c:pt idx="2">
                  <c:v>0.88519999999999999</c:v>
                </c:pt>
                <c:pt idx="3">
                  <c:v>0.8952</c:v>
                </c:pt>
                <c:pt idx="4">
                  <c:v>0.90259999999999996</c:v>
                </c:pt>
                <c:pt idx="5">
                  <c:v>0.92969999999999997</c:v>
                </c:pt>
                <c:pt idx="6">
                  <c:v>0.94689999999999996</c:v>
                </c:pt>
                <c:pt idx="7">
                  <c:v>0.95489999999999997</c:v>
                </c:pt>
                <c:pt idx="8">
                  <c:v>0.93379999999999996</c:v>
                </c:pt>
                <c:pt idx="9">
                  <c:v>0.96709999999999996</c:v>
                </c:pt>
                <c:pt idx="10">
                  <c:v>0.96220000000000006</c:v>
                </c:pt>
                <c:pt idx="11">
                  <c:v>0.98599999999999999</c:v>
                </c:pt>
                <c:pt idx="12">
                  <c:v>0.96719999999999995</c:v>
                </c:pt>
                <c:pt idx="13">
                  <c:v>0.97619999999999996</c:v>
                </c:pt>
                <c:pt idx="14">
                  <c:v>0.97319999999999995</c:v>
                </c:pt>
                <c:pt idx="15">
                  <c:v>1.0152000000000001</c:v>
                </c:pt>
                <c:pt idx="16">
                  <c:v>0.99429999999999996</c:v>
                </c:pt>
                <c:pt idx="17">
                  <c:v>1.0142</c:v>
                </c:pt>
                <c:pt idx="18">
                  <c:v>1.0113000000000001</c:v>
                </c:pt>
                <c:pt idx="19">
                  <c:v>1.0708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F7-41D0-B850-C425D37B61DC}"/>
            </c:ext>
          </c:extLst>
        </c:ser>
        <c:ser>
          <c:idx val="4"/>
          <c:order val="3"/>
          <c:tx>
            <c:strRef>
              <c:f>'Run 2 (Ty)'!$A$62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(Ty)'!$H$62:$H$81</c:f>
              <c:numCache>
                <c:formatCode>General</c:formatCode>
                <c:ptCount val="20"/>
                <c:pt idx="0">
                  <c:v>0.14585947302383939</c:v>
                </c:pt>
                <c:pt idx="1">
                  <c:v>0.17461313258051023</c:v>
                </c:pt>
                <c:pt idx="2">
                  <c:v>0.23316603931409452</c:v>
                </c:pt>
                <c:pt idx="3">
                  <c:v>0.28094939355918025</c:v>
                </c:pt>
                <c:pt idx="4">
                  <c:v>0.32820995399414471</c:v>
                </c:pt>
                <c:pt idx="5">
                  <c:v>0.36836051861145963</c:v>
                </c:pt>
                <c:pt idx="6">
                  <c:v>0.4057925554161439</c:v>
                </c:pt>
                <c:pt idx="7">
                  <c:v>0.45692179004600586</c:v>
                </c:pt>
                <c:pt idx="8">
                  <c:v>0.47678795483061481</c:v>
                </c:pt>
                <c:pt idx="9">
                  <c:v>0.49602676704307819</c:v>
                </c:pt>
                <c:pt idx="10">
                  <c:v>0.51547469677959012</c:v>
                </c:pt>
                <c:pt idx="11">
                  <c:v>0.53868674194897537</c:v>
                </c:pt>
                <c:pt idx="12">
                  <c:v>0.6385403596821414</c:v>
                </c:pt>
                <c:pt idx="13">
                  <c:v>0.71748222501045589</c:v>
                </c:pt>
                <c:pt idx="14">
                  <c:v>0.75784190715181932</c:v>
                </c:pt>
                <c:pt idx="15">
                  <c:v>0.8044751150146382</c:v>
                </c:pt>
                <c:pt idx="16">
                  <c:v>0.86647846089502301</c:v>
                </c:pt>
                <c:pt idx="17">
                  <c:v>0.9504391468005019</c:v>
                </c:pt>
                <c:pt idx="18">
                  <c:v>1.1867419489753241</c:v>
                </c:pt>
                <c:pt idx="19">
                  <c:v>1.5745503973232957</c:v>
                </c:pt>
              </c:numCache>
            </c:numRef>
          </c:xVal>
          <c:yVal>
            <c:numRef>
              <c:f>'Run 2 (Ty)'!$F$62:$F$81</c:f>
              <c:numCache>
                <c:formatCode>General</c:formatCode>
                <c:ptCount val="20"/>
                <c:pt idx="0">
                  <c:v>0.87519999999999998</c:v>
                </c:pt>
                <c:pt idx="1">
                  <c:v>0.9052</c:v>
                </c:pt>
                <c:pt idx="2">
                  <c:v>0.9224</c:v>
                </c:pt>
                <c:pt idx="3">
                  <c:v>0.98419999999999996</c:v>
                </c:pt>
                <c:pt idx="4">
                  <c:v>0.99470000000000003</c:v>
                </c:pt>
                <c:pt idx="5">
                  <c:v>1.0192000000000001</c:v>
                </c:pt>
                <c:pt idx="6">
                  <c:v>1.0237000000000001</c:v>
                </c:pt>
                <c:pt idx="7">
                  <c:v>1.0611999999999999</c:v>
                </c:pt>
                <c:pt idx="8">
                  <c:v>1.0582</c:v>
                </c:pt>
                <c:pt idx="9">
                  <c:v>1.0971</c:v>
                </c:pt>
                <c:pt idx="10">
                  <c:v>1.0728</c:v>
                </c:pt>
                <c:pt idx="11">
                  <c:v>1.0999000000000001</c:v>
                </c:pt>
                <c:pt idx="12">
                  <c:v>1.1311</c:v>
                </c:pt>
                <c:pt idx="13">
                  <c:v>1.1939</c:v>
                </c:pt>
                <c:pt idx="14">
                  <c:v>1.1972</c:v>
                </c:pt>
                <c:pt idx="15">
                  <c:v>1.2142999999999999</c:v>
                </c:pt>
                <c:pt idx="16">
                  <c:v>1.2068000000000001</c:v>
                </c:pt>
                <c:pt idx="17">
                  <c:v>1.2458</c:v>
                </c:pt>
                <c:pt idx="18">
                  <c:v>1.2932999999999999</c:v>
                </c:pt>
                <c:pt idx="19">
                  <c:v>1.3488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F7-41D0-B850-C425D37B61DC}"/>
            </c:ext>
          </c:extLst>
        </c:ser>
        <c:ser>
          <c:idx val="5"/>
          <c:order val="4"/>
          <c:tx>
            <c:strRef>
              <c:f>'Run 2 (Ty)'!$A$82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(Ty)'!$H$82:$H$101</c:f>
              <c:numCache>
                <c:formatCode>General</c:formatCode>
                <c:ptCount val="20"/>
                <c:pt idx="0">
                  <c:v>1.1698110984797167E-2</c:v>
                </c:pt>
                <c:pt idx="1">
                  <c:v>1.4878866237461052E-2</c:v>
                </c:pt>
                <c:pt idx="2">
                  <c:v>2.1352292205382543E-2</c:v>
                </c:pt>
                <c:pt idx="3">
                  <c:v>2.703052936013807E-2</c:v>
                </c:pt>
                <c:pt idx="4">
                  <c:v>3.2755888814933055E-2</c:v>
                </c:pt>
                <c:pt idx="5">
                  <c:v>3.8021805844343261E-2</c:v>
                </c:pt>
                <c:pt idx="6">
                  <c:v>4.2946086198467341E-2</c:v>
                </c:pt>
                <c:pt idx="7">
                  <c:v>4.7664206489918773E-2</c:v>
                </c:pt>
                <c:pt idx="8">
                  <c:v>5.1693163143293024E-2</c:v>
                </c:pt>
                <c:pt idx="9">
                  <c:v>5.6375941709714848E-2</c:v>
                </c:pt>
                <c:pt idx="10">
                  <c:v>6.0381337213069375E-2</c:v>
                </c:pt>
                <c:pt idx="11">
                  <c:v>6.4634124791631081E-2</c:v>
                </c:pt>
                <c:pt idx="12">
                  <c:v>7.0170995046268198E-2</c:v>
                </c:pt>
                <c:pt idx="13">
                  <c:v>7.7280572064722469E-2</c:v>
                </c:pt>
                <c:pt idx="14">
                  <c:v>8.6186686772181345E-2</c:v>
                </c:pt>
                <c:pt idx="15">
                  <c:v>9.6948242043694149E-2</c:v>
                </c:pt>
                <c:pt idx="16">
                  <c:v>0.11355296252010061</c:v>
                </c:pt>
                <c:pt idx="17">
                  <c:v>0.13686083017712095</c:v>
                </c:pt>
                <c:pt idx="18">
                  <c:v>0.17646712336029119</c:v>
                </c:pt>
                <c:pt idx="19">
                  <c:v>0.25348852277479667</c:v>
                </c:pt>
              </c:numCache>
            </c:numRef>
          </c:xVal>
          <c:yVal>
            <c:numRef>
              <c:f>'Run 2 (Ty)'!$F$82:$F$101</c:f>
              <c:numCache>
                <c:formatCode>General</c:formatCode>
                <c:ptCount val="20"/>
                <c:pt idx="0">
                  <c:v>1.1287</c:v>
                </c:pt>
                <c:pt idx="1">
                  <c:v>1.1853</c:v>
                </c:pt>
                <c:pt idx="2">
                  <c:v>1.1942999999999999</c:v>
                </c:pt>
                <c:pt idx="3">
                  <c:v>1.2723</c:v>
                </c:pt>
                <c:pt idx="4">
                  <c:v>1.3167</c:v>
                </c:pt>
                <c:pt idx="5">
                  <c:v>1.365</c:v>
                </c:pt>
                <c:pt idx="6">
                  <c:v>1.3951</c:v>
                </c:pt>
                <c:pt idx="7">
                  <c:v>1.4469000000000001</c:v>
                </c:pt>
                <c:pt idx="8">
                  <c:v>1.4753000000000001</c:v>
                </c:pt>
                <c:pt idx="9">
                  <c:v>1.5164</c:v>
                </c:pt>
                <c:pt idx="10">
                  <c:v>1.5542</c:v>
                </c:pt>
                <c:pt idx="11">
                  <c:v>1.5924</c:v>
                </c:pt>
                <c:pt idx="12">
                  <c:v>1.5991</c:v>
                </c:pt>
                <c:pt idx="13">
                  <c:v>1.6654</c:v>
                </c:pt>
                <c:pt idx="14">
                  <c:v>1.7582</c:v>
                </c:pt>
                <c:pt idx="15">
                  <c:v>1.8493999999999999</c:v>
                </c:pt>
                <c:pt idx="16">
                  <c:v>1.9278999999999999</c:v>
                </c:pt>
                <c:pt idx="17">
                  <c:v>2.0830000000000002</c:v>
                </c:pt>
                <c:pt idx="18">
                  <c:v>2.3519000000000001</c:v>
                </c:pt>
                <c:pt idx="19">
                  <c:v>2.9416000000000002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F7-41D0-B850-C425D37B61DC}"/>
            </c:ext>
          </c:extLst>
        </c:ser>
        <c:ser>
          <c:idx val="0"/>
          <c:order val="5"/>
          <c:tx>
            <c:strRef>
              <c:f>'Run 2 (Ty)'!$A$102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(Ty)'!$H$102:$H$121</c:f>
              <c:numCache>
                <c:formatCode>General</c:formatCode>
                <c:ptCount val="20"/>
                <c:pt idx="0">
                  <c:v>1.7032584757510606E-2</c:v>
                </c:pt>
                <c:pt idx="1">
                  <c:v>2.1976010001935518E-2</c:v>
                </c:pt>
                <c:pt idx="2">
                  <c:v>3.1664077253443397E-2</c:v>
                </c:pt>
                <c:pt idx="3">
                  <c:v>3.9939737292258436E-2</c:v>
                </c:pt>
                <c:pt idx="4">
                  <c:v>4.7305179349560321E-2</c:v>
                </c:pt>
                <c:pt idx="5">
                  <c:v>5.4001035765289307E-2</c:v>
                </c:pt>
                <c:pt idx="6">
                  <c:v>5.9985457436847085E-2</c:v>
                </c:pt>
                <c:pt idx="7">
                  <c:v>6.5860025214084308E-2</c:v>
                </c:pt>
                <c:pt idx="8">
                  <c:v>7.0468657637722781E-2</c:v>
                </c:pt>
                <c:pt idx="9">
                  <c:v>7.5631790670788804E-2</c:v>
                </c:pt>
                <c:pt idx="10">
                  <c:v>7.9973635065363063E-2</c:v>
                </c:pt>
                <c:pt idx="11">
                  <c:v>8.4608423178125475E-2</c:v>
                </c:pt>
                <c:pt idx="12">
                  <c:v>9.0362674785392574E-2</c:v>
                </c:pt>
                <c:pt idx="13">
                  <c:v>9.742994198668152E-2</c:v>
                </c:pt>
                <c:pt idx="14">
                  <c:v>0.10597762119238555</c:v>
                </c:pt>
                <c:pt idx="15">
                  <c:v>0.11572846209779088</c:v>
                </c:pt>
                <c:pt idx="16">
                  <c:v>0.13098245999487346</c:v>
                </c:pt>
                <c:pt idx="17">
                  <c:v>0.15164545440278712</c:v>
                </c:pt>
                <c:pt idx="18">
                  <c:v>0.18813264073068531</c:v>
                </c:pt>
                <c:pt idx="19">
                  <c:v>0.26438693680262393</c:v>
                </c:pt>
              </c:numCache>
            </c:numRef>
          </c:xVal>
          <c:yVal>
            <c:numRef>
              <c:f>'Run 2 (Ty)'!$F$102:$F$121</c:f>
              <c:numCache>
                <c:formatCode>General</c:formatCode>
                <c:ptCount val="20"/>
                <c:pt idx="0">
                  <c:v>1.8169</c:v>
                </c:pt>
                <c:pt idx="1">
                  <c:v>1.8573999999999999</c:v>
                </c:pt>
                <c:pt idx="2">
                  <c:v>1.9662999999999999</c:v>
                </c:pt>
                <c:pt idx="3">
                  <c:v>2.0507</c:v>
                </c:pt>
                <c:pt idx="4">
                  <c:v>2.1257000000000001</c:v>
                </c:pt>
                <c:pt idx="5">
                  <c:v>2.2385999999999999</c:v>
                </c:pt>
                <c:pt idx="6">
                  <c:v>2.2275</c:v>
                </c:pt>
                <c:pt idx="7">
                  <c:v>2.4599000000000002</c:v>
                </c:pt>
                <c:pt idx="8">
                  <c:v>2.3677000000000001</c:v>
                </c:pt>
                <c:pt idx="9">
                  <c:v>2.3734999999999999</c:v>
                </c:pt>
                <c:pt idx="10">
                  <c:v>2.4300999999999999</c:v>
                </c:pt>
                <c:pt idx="11">
                  <c:v>2.5432999999999999</c:v>
                </c:pt>
                <c:pt idx="12">
                  <c:v>2.5615000000000001</c:v>
                </c:pt>
                <c:pt idx="13">
                  <c:v>2.6236000000000002</c:v>
                </c:pt>
                <c:pt idx="14">
                  <c:v>2.5899000000000001</c:v>
                </c:pt>
                <c:pt idx="15">
                  <c:v>2.6465999999999998</c:v>
                </c:pt>
                <c:pt idx="16">
                  <c:v>2.7978999999999998</c:v>
                </c:pt>
                <c:pt idx="17">
                  <c:v>3.0234000000000001</c:v>
                </c:pt>
                <c:pt idx="18">
                  <c:v>3.2004999999999999</c:v>
                </c:pt>
                <c:pt idx="19">
                  <c:v>3.8149000000000002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F7-41D0-B850-C425D37B61DC}"/>
            </c:ext>
          </c:extLst>
        </c:ser>
        <c:ser>
          <c:idx val="6"/>
          <c:order val="6"/>
          <c:tx>
            <c:strRef>
              <c:f>'Run 2 (Ty)'!$A$122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(Ty)'!$H$122:$H$141</c:f>
              <c:numCache>
                <c:formatCode>General</c:formatCode>
                <c:ptCount val="20"/>
                <c:pt idx="0">
                  <c:v>6.1067719799760209E-3</c:v>
                </c:pt>
                <c:pt idx="1">
                  <c:v>6.3601200354958245E-3</c:v>
                </c:pt>
                <c:pt idx="2">
                  <c:v>6.8837511769846167E-3</c:v>
                </c:pt>
                <c:pt idx="3">
                  <c:v>7.4487037927694197E-3</c:v>
                </c:pt>
                <c:pt idx="4">
                  <c:v>8.122718004646973E-3</c:v>
                </c:pt>
                <c:pt idx="5">
                  <c:v>8.8841169736423187E-3</c:v>
                </c:pt>
                <c:pt idx="6">
                  <c:v>1.0258564044898152E-2</c:v>
                </c:pt>
                <c:pt idx="7">
                  <c:v>1.2585437228616138E-2</c:v>
                </c:pt>
                <c:pt idx="8">
                  <c:v>1.3056908476321441E-2</c:v>
                </c:pt>
                <c:pt idx="9">
                  <c:v>1.345928479979407E-2</c:v>
                </c:pt>
                <c:pt idx="10">
                  <c:v>1.3869112536664343E-2</c:v>
                </c:pt>
                <c:pt idx="11">
                  <c:v>1.4832377068613971E-2</c:v>
                </c:pt>
                <c:pt idx="12">
                  <c:v>2.8771261930728955E-2</c:v>
                </c:pt>
                <c:pt idx="13">
                  <c:v>3.5487017605657659E-2</c:v>
                </c:pt>
                <c:pt idx="14">
                  <c:v>3.6663663521267015E-2</c:v>
                </c:pt>
                <c:pt idx="15">
                  <c:v>3.8624062646064633E-2</c:v>
                </c:pt>
                <c:pt idx="16">
                  <c:v>4.0231535736301255E-2</c:v>
                </c:pt>
                <c:pt idx="17">
                  <c:v>4.2683728145343207E-2</c:v>
                </c:pt>
                <c:pt idx="18">
                  <c:v>5.7197726641512507E-2</c:v>
                </c:pt>
                <c:pt idx="19">
                  <c:v>7.7504182952520956E-2</c:v>
                </c:pt>
              </c:numCache>
            </c:numRef>
          </c:xVal>
          <c:yVal>
            <c:numRef>
              <c:f>'Run 2 (Ty)'!$F$122:$F$141</c:f>
              <c:numCache>
                <c:formatCode>General</c:formatCode>
                <c:ptCount val="20"/>
                <c:pt idx="0">
                  <c:v>6.4572000000000003</c:v>
                </c:pt>
                <c:pt idx="1">
                  <c:v>6.5538999999999996</c:v>
                </c:pt>
                <c:pt idx="2">
                  <c:v>6.5807000000000002</c:v>
                </c:pt>
                <c:pt idx="3">
                  <c:v>6.5621</c:v>
                </c:pt>
                <c:pt idx="4">
                  <c:v>6.6429</c:v>
                </c:pt>
                <c:pt idx="5">
                  <c:v>6.6993999999999998</c:v>
                </c:pt>
                <c:pt idx="6">
                  <c:v>6.8177000000000003</c:v>
                </c:pt>
                <c:pt idx="7">
                  <c:v>7.1798999999999999</c:v>
                </c:pt>
                <c:pt idx="8">
                  <c:v>7.1337999999999999</c:v>
                </c:pt>
                <c:pt idx="9">
                  <c:v>7.3620999999999999</c:v>
                </c:pt>
                <c:pt idx="10">
                  <c:v>7.3958000000000004</c:v>
                </c:pt>
                <c:pt idx="11">
                  <c:v>7.4680999999999997</c:v>
                </c:pt>
                <c:pt idx="12">
                  <c:v>8.5661000000000005</c:v>
                </c:pt>
                <c:pt idx="13">
                  <c:v>9.0165000000000006</c:v>
                </c:pt>
                <c:pt idx="14">
                  <c:v>9.2220999999999993</c:v>
                </c:pt>
                <c:pt idx="15">
                  <c:v>9.2836999999999996</c:v>
                </c:pt>
                <c:pt idx="16">
                  <c:v>9.3213000000000008</c:v>
                </c:pt>
                <c:pt idx="17">
                  <c:v>9.3625000000000007</c:v>
                </c:pt>
                <c:pt idx="18">
                  <c:v>9.4817</c:v>
                </c:pt>
                <c:pt idx="19">
                  <c:v>9.9827999999999992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F7-41D0-B850-C425D37B61DC}"/>
            </c:ext>
          </c:extLst>
        </c:ser>
        <c:ser>
          <c:idx val="7"/>
          <c:order val="7"/>
          <c:tx>
            <c:strRef>
              <c:f>'Run 2 (Ty)'!$A$142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(Ty)'!$H$142:$H$161</c:f>
              <c:numCache>
                <c:formatCode>General</c:formatCode>
                <c:ptCount val="20"/>
                <c:pt idx="0">
                  <c:v>0.11955848397814947</c:v>
                </c:pt>
                <c:pt idx="1">
                  <c:v>0.14357718083009519</c:v>
                </c:pt>
                <c:pt idx="2">
                  <c:v>0.19676747198288</c:v>
                </c:pt>
                <c:pt idx="3">
                  <c:v>0.24255223292222786</c:v>
                </c:pt>
                <c:pt idx="4">
                  <c:v>0.28467646561919241</c:v>
                </c:pt>
                <c:pt idx="5">
                  <c:v>0.32544911865743087</c:v>
                </c:pt>
                <c:pt idx="6">
                  <c:v>0.36157571661879823</c:v>
                </c:pt>
                <c:pt idx="7">
                  <c:v>0.40423494959734191</c:v>
                </c:pt>
                <c:pt idx="8">
                  <c:v>0.43056259503294475</c:v>
                </c:pt>
                <c:pt idx="9">
                  <c:v>0.45776313566480825</c:v>
                </c:pt>
                <c:pt idx="10">
                  <c:v>0.48490736047755817</c:v>
                </c:pt>
                <c:pt idx="11">
                  <c:v>0.51917553640817704</c:v>
                </c:pt>
                <c:pt idx="12">
                  <c:v>0.56448161288505938</c:v>
                </c:pt>
                <c:pt idx="13">
                  <c:v>0.63220138536915027</c:v>
                </c:pt>
                <c:pt idx="14">
                  <c:v>0.68401193895365209</c:v>
                </c:pt>
                <c:pt idx="15">
                  <c:v>0.75395618629272965</c:v>
                </c:pt>
                <c:pt idx="16">
                  <c:v>0.86115334797544629</c:v>
                </c:pt>
                <c:pt idx="17">
                  <c:v>0.9609731373542828</c:v>
                </c:pt>
                <c:pt idx="18">
                  <c:v>1.1391000732105649</c:v>
                </c:pt>
                <c:pt idx="19">
                  <c:v>1.5240750126710594</c:v>
                </c:pt>
              </c:numCache>
            </c:numRef>
          </c:xVal>
          <c:yVal>
            <c:numRef>
              <c:f>'Run 2 (Ty)'!$F$142:$F$161</c:f>
              <c:numCache>
                <c:formatCode>General</c:formatCode>
                <c:ptCount val="20"/>
                <c:pt idx="0">
                  <c:v>2.6141000000000001</c:v>
                </c:pt>
                <c:pt idx="1">
                  <c:v>2.6252</c:v>
                </c:pt>
                <c:pt idx="2">
                  <c:v>2.7458999999999998</c:v>
                </c:pt>
                <c:pt idx="3">
                  <c:v>2.8298999999999999</c:v>
                </c:pt>
                <c:pt idx="4">
                  <c:v>2.9115000000000002</c:v>
                </c:pt>
                <c:pt idx="5">
                  <c:v>2.9487000000000001</c:v>
                </c:pt>
                <c:pt idx="6">
                  <c:v>3.0402</c:v>
                </c:pt>
                <c:pt idx="7">
                  <c:v>3.1019999999999999</c:v>
                </c:pt>
                <c:pt idx="8">
                  <c:v>3.1274999999999999</c:v>
                </c:pt>
                <c:pt idx="9">
                  <c:v>3.2616999999999998</c:v>
                </c:pt>
                <c:pt idx="10">
                  <c:v>3.2654999999999998</c:v>
                </c:pt>
                <c:pt idx="11">
                  <c:v>3.2827999999999999</c:v>
                </c:pt>
                <c:pt idx="12">
                  <c:v>3.3448000000000002</c:v>
                </c:pt>
                <c:pt idx="13">
                  <c:v>3.4184999999999999</c:v>
                </c:pt>
                <c:pt idx="14">
                  <c:v>3.5577000000000001</c:v>
                </c:pt>
                <c:pt idx="15">
                  <c:v>3.7073</c:v>
                </c:pt>
                <c:pt idx="16">
                  <c:v>3.8628999999999998</c:v>
                </c:pt>
                <c:pt idx="17">
                  <c:v>3.9634</c:v>
                </c:pt>
                <c:pt idx="18">
                  <c:v>4.0198999999999998</c:v>
                </c:pt>
                <c:pt idx="19">
                  <c:v>4.1468999999999996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F7-41D0-B850-C425D37B61DC}"/>
            </c:ext>
          </c:extLst>
        </c:ser>
        <c:ser>
          <c:idx val="8"/>
          <c:order val="8"/>
          <c:tx>
            <c:strRef>
              <c:f>'Run 2 (Ty)'!$A$162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(Ty)'!$H$162:$H$181</c:f>
              <c:numCache>
                <c:formatCode>General</c:formatCode>
                <c:ptCount val="20"/>
                <c:pt idx="0">
                  <c:v>5.1520912547528511E-2</c:v>
                </c:pt>
                <c:pt idx="1">
                  <c:v>6.0750086415485648E-2</c:v>
                </c:pt>
                <c:pt idx="2">
                  <c:v>7.9623228482544064E-2</c:v>
                </c:pt>
                <c:pt idx="3">
                  <c:v>9.6145869339785694E-2</c:v>
                </c:pt>
                <c:pt idx="4">
                  <c:v>0.11042170756999654</c:v>
                </c:pt>
                <c:pt idx="5">
                  <c:v>0.12436916695471827</c:v>
                </c:pt>
                <c:pt idx="6">
                  <c:v>0.13719322502592463</c:v>
                </c:pt>
                <c:pt idx="7">
                  <c:v>0.14922226062910474</c:v>
                </c:pt>
                <c:pt idx="8">
                  <c:v>0.15957483581057724</c:v>
                </c:pt>
                <c:pt idx="9">
                  <c:v>0.17188040096785343</c:v>
                </c:pt>
                <c:pt idx="10">
                  <c:v>0.18202557898375388</c:v>
                </c:pt>
                <c:pt idx="11">
                  <c:v>0.19220532319391634</c:v>
                </c:pt>
                <c:pt idx="12">
                  <c:v>0.20553059108192187</c:v>
                </c:pt>
                <c:pt idx="13">
                  <c:v>0.22317663325267886</c:v>
                </c:pt>
                <c:pt idx="14">
                  <c:v>0.24324230902177671</c:v>
                </c:pt>
                <c:pt idx="15">
                  <c:v>0.2667473211199447</c:v>
                </c:pt>
                <c:pt idx="16">
                  <c:v>0.30518492913930179</c:v>
                </c:pt>
                <c:pt idx="17">
                  <c:v>0.36045627376425854</c:v>
                </c:pt>
                <c:pt idx="18">
                  <c:v>0.46880400967853436</c:v>
                </c:pt>
                <c:pt idx="19">
                  <c:v>0.73104044244728661</c:v>
                </c:pt>
              </c:numCache>
            </c:numRef>
          </c:xVal>
          <c:yVal>
            <c:numRef>
              <c:f>'Run 2 (Ty)'!$F$162:$F$181</c:f>
              <c:numCache>
                <c:formatCode>General</c:formatCode>
                <c:ptCount val="20"/>
                <c:pt idx="0">
                  <c:v>1.8907</c:v>
                </c:pt>
                <c:pt idx="1">
                  <c:v>1.9644999999999999</c:v>
                </c:pt>
                <c:pt idx="2">
                  <c:v>1.9915</c:v>
                </c:pt>
                <c:pt idx="3">
                  <c:v>2.0701000000000001</c:v>
                </c:pt>
                <c:pt idx="4">
                  <c:v>2.109</c:v>
                </c:pt>
                <c:pt idx="5">
                  <c:v>2.1732999999999998</c:v>
                </c:pt>
                <c:pt idx="6">
                  <c:v>2.1934999999999998</c:v>
                </c:pt>
                <c:pt idx="7">
                  <c:v>2.2507999999999999</c:v>
                </c:pt>
                <c:pt idx="8">
                  <c:v>2.3108</c:v>
                </c:pt>
                <c:pt idx="9">
                  <c:v>2.3224999999999998</c:v>
                </c:pt>
                <c:pt idx="10">
                  <c:v>2.3195999999999999</c:v>
                </c:pt>
                <c:pt idx="11">
                  <c:v>2.3342000000000001</c:v>
                </c:pt>
                <c:pt idx="12">
                  <c:v>2.3913000000000002</c:v>
                </c:pt>
                <c:pt idx="13">
                  <c:v>2.419</c:v>
                </c:pt>
                <c:pt idx="14">
                  <c:v>2.5026000000000002</c:v>
                </c:pt>
                <c:pt idx="15">
                  <c:v>2.5623999999999998</c:v>
                </c:pt>
                <c:pt idx="16">
                  <c:v>2.6473</c:v>
                </c:pt>
                <c:pt idx="17">
                  <c:v>2.8311999999999999</c:v>
                </c:pt>
                <c:pt idx="18">
                  <c:v>3.0602999999999998</c:v>
                </c:pt>
                <c:pt idx="19">
                  <c:v>3.6614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F7-41D0-B850-C425D37B61DC}"/>
            </c:ext>
          </c:extLst>
        </c:ser>
        <c:ser>
          <c:idx val="9"/>
          <c:order val="9"/>
          <c:tx>
            <c:strRef>
              <c:f>'Run 2 (Ty)'!$A$182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(Ty)'!$H$182:$H$201</c:f>
              <c:numCache>
                <c:formatCode>General</c:formatCode>
                <c:ptCount val="20"/>
                <c:pt idx="0">
                  <c:v>7.245483427379202E-3</c:v>
                </c:pt>
                <c:pt idx="1">
                  <c:v>9.1672706827526894E-3</c:v>
                </c:pt>
                <c:pt idx="2">
                  <c:v>1.3102971759143224E-2</c:v>
                </c:pt>
                <c:pt idx="3">
                  <c:v>1.6241371601986139E-2</c:v>
                </c:pt>
                <c:pt idx="4">
                  <c:v>1.9020071398088374E-2</c:v>
                </c:pt>
                <c:pt idx="5">
                  <c:v>2.171341864072672E-2</c:v>
                </c:pt>
                <c:pt idx="6">
                  <c:v>2.4051807645150147E-2</c:v>
                </c:pt>
                <c:pt idx="7">
                  <c:v>2.78791245266659E-2</c:v>
                </c:pt>
                <c:pt idx="8">
                  <c:v>2.9238668771126453E-2</c:v>
                </c:pt>
                <c:pt idx="9">
                  <c:v>3.0562988152252699E-2</c:v>
                </c:pt>
                <c:pt idx="10">
                  <c:v>3.1894081545558617E-2</c:v>
                </c:pt>
                <c:pt idx="11">
                  <c:v>3.3568617356374009E-2</c:v>
                </c:pt>
                <c:pt idx="12">
                  <c:v>4.4337941919619574E-2</c:v>
                </c:pt>
                <c:pt idx="13">
                  <c:v>5.2416628845098664E-2</c:v>
                </c:pt>
                <c:pt idx="14">
                  <c:v>5.5429709462617618E-2</c:v>
                </c:pt>
                <c:pt idx="15">
                  <c:v>5.8921712741239515E-2</c:v>
                </c:pt>
                <c:pt idx="16">
                  <c:v>6.2827608164039483E-2</c:v>
                </c:pt>
                <c:pt idx="17">
                  <c:v>6.8174335977456091E-2</c:v>
                </c:pt>
                <c:pt idx="18">
                  <c:v>8.6834707328803787E-2</c:v>
                </c:pt>
                <c:pt idx="19">
                  <c:v>0.11598870094768431</c:v>
                </c:pt>
              </c:numCache>
            </c:numRef>
          </c:xVal>
          <c:yVal>
            <c:numRef>
              <c:f>'Run 2 (Ty)'!$F$182:$F$201</c:f>
              <c:numCache>
                <c:formatCode>General</c:formatCode>
                <c:ptCount val="20"/>
                <c:pt idx="0">
                  <c:v>6.4945000000000004</c:v>
                </c:pt>
                <c:pt idx="1">
                  <c:v>6.5914999999999999</c:v>
                </c:pt>
                <c:pt idx="2">
                  <c:v>6.9739000000000004</c:v>
                </c:pt>
                <c:pt idx="3">
                  <c:v>7.2129000000000003</c:v>
                </c:pt>
                <c:pt idx="4">
                  <c:v>7.4645000000000001</c:v>
                </c:pt>
                <c:pt idx="5">
                  <c:v>7.8131000000000004</c:v>
                </c:pt>
                <c:pt idx="6">
                  <c:v>7.8573000000000004</c:v>
                </c:pt>
                <c:pt idx="7">
                  <c:v>8.2483000000000004</c:v>
                </c:pt>
                <c:pt idx="8">
                  <c:v>8.4238999999999997</c:v>
                </c:pt>
                <c:pt idx="9">
                  <c:v>8.5200999999999993</c:v>
                </c:pt>
                <c:pt idx="10">
                  <c:v>8.4250000000000007</c:v>
                </c:pt>
                <c:pt idx="11">
                  <c:v>8.7233999999999998</c:v>
                </c:pt>
                <c:pt idx="12">
                  <c:v>9.7017000000000007</c:v>
                </c:pt>
                <c:pt idx="13">
                  <c:v>10.36</c:v>
                </c:pt>
                <c:pt idx="14">
                  <c:v>10.5025</c:v>
                </c:pt>
                <c:pt idx="15">
                  <c:v>10.4991</c:v>
                </c:pt>
                <c:pt idx="16">
                  <c:v>10.616300000000001</c:v>
                </c:pt>
                <c:pt idx="17">
                  <c:v>10.7173</c:v>
                </c:pt>
                <c:pt idx="18">
                  <c:v>10.834199999999999</c:v>
                </c:pt>
                <c:pt idx="19">
                  <c:v>11.2942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F7-41D0-B850-C425D37B61DC}"/>
            </c:ext>
          </c:extLst>
        </c:ser>
        <c:ser>
          <c:idx val="10"/>
          <c:order val="10"/>
          <c:tx>
            <c:strRef>
              <c:f>'Run 2 (Ty)'!$A$202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(Ty)'!$H$202:$H$221</c:f>
              <c:numCache>
                <c:formatCode>General</c:formatCode>
                <c:ptCount val="20"/>
                <c:pt idx="0">
                  <c:v>2.1171311238111577E-2</c:v>
                </c:pt>
                <c:pt idx="1">
                  <c:v>2.6763024993834639E-2</c:v>
                </c:pt>
                <c:pt idx="2">
                  <c:v>3.8386069502375005E-2</c:v>
                </c:pt>
                <c:pt idx="3">
                  <c:v>4.8625928824935938E-2</c:v>
                </c:pt>
                <c:pt idx="4">
                  <c:v>5.7750662106087085E-2</c:v>
                </c:pt>
                <c:pt idx="5">
                  <c:v>6.6430417207252609E-2</c:v>
                </c:pt>
                <c:pt idx="6">
                  <c:v>7.432743960627472E-2</c:v>
                </c:pt>
                <c:pt idx="7">
                  <c:v>8.1441729303153451E-2</c:v>
                </c:pt>
                <c:pt idx="8">
                  <c:v>8.6636715524913407E-2</c:v>
                </c:pt>
                <c:pt idx="9">
                  <c:v>9.2164095085939757E-2</c:v>
                </c:pt>
                <c:pt idx="10">
                  <c:v>9.688193603036574E-2</c:v>
                </c:pt>
                <c:pt idx="11">
                  <c:v>0.10187319730225278</c:v>
                </c:pt>
                <c:pt idx="12">
                  <c:v>0.10804927999313768</c:v>
                </c:pt>
                <c:pt idx="13">
                  <c:v>0.11553885249241393</c:v>
                </c:pt>
                <c:pt idx="14">
                  <c:v>0.12382724124250774</c:v>
                </c:pt>
                <c:pt idx="15">
                  <c:v>0.13356314937327771</c:v>
                </c:pt>
                <c:pt idx="16">
                  <c:v>0.14750222489089992</c:v>
                </c:pt>
                <c:pt idx="17">
                  <c:v>0.16653442415534564</c:v>
                </c:pt>
                <c:pt idx="18">
                  <c:v>0.20285643824453428</c:v>
                </c:pt>
                <c:pt idx="19">
                  <c:v>0.2788458445471409</c:v>
                </c:pt>
              </c:numCache>
            </c:numRef>
          </c:xVal>
          <c:yVal>
            <c:numRef>
              <c:f>'Run 2 (Ty)'!$F$202:$F$221</c:f>
              <c:numCache>
                <c:formatCode>General</c:formatCode>
                <c:ptCount val="20"/>
                <c:pt idx="0">
                  <c:v>1.9617</c:v>
                </c:pt>
                <c:pt idx="1">
                  <c:v>2.0095000000000001</c:v>
                </c:pt>
                <c:pt idx="2">
                  <c:v>2.1575000000000002</c:v>
                </c:pt>
                <c:pt idx="3">
                  <c:v>2.2645</c:v>
                </c:pt>
                <c:pt idx="4">
                  <c:v>2.3458999999999999</c:v>
                </c:pt>
                <c:pt idx="5">
                  <c:v>2.4375</c:v>
                </c:pt>
                <c:pt idx="6">
                  <c:v>2.5150999999999999</c:v>
                </c:pt>
                <c:pt idx="7">
                  <c:v>2.5747</c:v>
                </c:pt>
                <c:pt idx="8">
                  <c:v>2.5909</c:v>
                </c:pt>
                <c:pt idx="9">
                  <c:v>2.6179000000000001</c:v>
                </c:pt>
                <c:pt idx="10">
                  <c:v>2.6655000000000002</c:v>
                </c:pt>
                <c:pt idx="11">
                  <c:v>2.7008000000000001</c:v>
                </c:pt>
                <c:pt idx="12">
                  <c:v>2.7486000000000002</c:v>
                </c:pt>
                <c:pt idx="13">
                  <c:v>2.7978999999999998</c:v>
                </c:pt>
                <c:pt idx="14">
                  <c:v>2.8456000000000001</c:v>
                </c:pt>
                <c:pt idx="15">
                  <c:v>2.9018999999999999</c:v>
                </c:pt>
                <c:pt idx="16">
                  <c:v>3.0750999999999999</c:v>
                </c:pt>
                <c:pt idx="17">
                  <c:v>3.0870000000000002</c:v>
                </c:pt>
                <c:pt idx="18">
                  <c:v>3.2572999999999999</c:v>
                </c:pt>
                <c:pt idx="19">
                  <c:v>3.6253000000000002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3F7-41D0-B850-C425D37B61DC}"/>
            </c:ext>
          </c:extLst>
        </c:ser>
        <c:ser>
          <c:idx val="11"/>
          <c:order val="11"/>
          <c:tx>
            <c:strRef>
              <c:f>'Run 2 (Ty)'!$A$222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(Ty)'!$H$222:$H$241</c:f>
              <c:numCache>
                <c:formatCode>General</c:formatCode>
                <c:ptCount val="20"/>
                <c:pt idx="0">
                  <c:v>1.8841718342265494E-2</c:v>
                </c:pt>
                <c:pt idx="1">
                  <c:v>2.4360017583733178E-2</c:v>
                </c:pt>
                <c:pt idx="2">
                  <c:v>3.4531458982201148E-2</c:v>
                </c:pt>
                <c:pt idx="3">
                  <c:v>4.3454268264167532E-2</c:v>
                </c:pt>
                <c:pt idx="4">
                  <c:v>5.124068202437404E-2</c:v>
                </c:pt>
                <c:pt idx="5">
                  <c:v>5.8550090256928269E-2</c:v>
                </c:pt>
                <c:pt idx="6">
                  <c:v>6.5663084448684489E-2</c:v>
                </c:pt>
                <c:pt idx="7">
                  <c:v>7.2280367013664804E-2</c:v>
                </c:pt>
                <c:pt idx="8">
                  <c:v>7.8051198593301341E-2</c:v>
                </c:pt>
                <c:pt idx="9">
                  <c:v>8.402779726329769E-2</c:v>
                </c:pt>
                <c:pt idx="10">
                  <c:v>8.9298240691377415E-2</c:v>
                </c:pt>
                <c:pt idx="11">
                  <c:v>9.479315730894057E-2</c:v>
                </c:pt>
                <c:pt idx="12">
                  <c:v>0.10149929384475807</c:v>
                </c:pt>
                <c:pt idx="13">
                  <c:v>0.11016021773899379</c:v>
                </c:pt>
                <c:pt idx="14">
                  <c:v>0.12017265729491101</c:v>
                </c:pt>
                <c:pt idx="15">
                  <c:v>0.13170029087984136</c:v>
                </c:pt>
                <c:pt idx="16">
                  <c:v>0.14939158412600426</c:v>
                </c:pt>
                <c:pt idx="17">
                  <c:v>0.17314365348821983</c:v>
                </c:pt>
                <c:pt idx="18">
                  <c:v>0.2147132822656827</c:v>
                </c:pt>
                <c:pt idx="19">
                  <c:v>0.30193046942955748</c:v>
                </c:pt>
              </c:numCache>
            </c:numRef>
          </c:xVal>
          <c:yVal>
            <c:numRef>
              <c:f>'Run 2 (Ty)'!$F$222:$F$241</c:f>
              <c:numCache>
                <c:formatCode>General</c:formatCode>
                <c:ptCount val="20"/>
                <c:pt idx="0">
                  <c:v>2.0516000000000001</c:v>
                </c:pt>
                <c:pt idx="1">
                  <c:v>2.169</c:v>
                </c:pt>
                <c:pt idx="2">
                  <c:v>2.2595000000000001</c:v>
                </c:pt>
                <c:pt idx="3">
                  <c:v>2.3601000000000001</c:v>
                </c:pt>
                <c:pt idx="4">
                  <c:v>2.4485000000000001</c:v>
                </c:pt>
                <c:pt idx="5">
                  <c:v>2.5034000000000001</c:v>
                </c:pt>
                <c:pt idx="6">
                  <c:v>2.5758999999999999</c:v>
                </c:pt>
                <c:pt idx="7">
                  <c:v>2.6528</c:v>
                </c:pt>
                <c:pt idx="8">
                  <c:v>2.6905000000000001</c:v>
                </c:pt>
                <c:pt idx="9">
                  <c:v>2.7610000000000001</c:v>
                </c:pt>
                <c:pt idx="10">
                  <c:v>2.8227000000000002</c:v>
                </c:pt>
                <c:pt idx="11">
                  <c:v>2.8336000000000001</c:v>
                </c:pt>
                <c:pt idx="12">
                  <c:v>2.8752</c:v>
                </c:pt>
                <c:pt idx="13">
                  <c:v>2.9771999999999998</c:v>
                </c:pt>
                <c:pt idx="14">
                  <c:v>3.0819000000000001</c:v>
                </c:pt>
                <c:pt idx="15">
                  <c:v>3.1362000000000001</c:v>
                </c:pt>
                <c:pt idx="16">
                  <c:v>3.3043999999999998</c:v>
                </c:pt>
                <c:pt idx="17">
                  <c:v>3.4992999999999999</c:v>
                </c:pt>
                <c:pt idx="18">
                  <c:v>3.8290999999999999</c:v>
                </c:pt>
                <c:pt idx="19">
                  <c:v>4.4401000000000002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3F7-41D0-B850-C425D37B6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6671621399273283"/>
              <c:y val="0.927348823664775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9139397928235705"/>
              <c:y val="0.702306798263922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7.4574522756749098E-2"/>
          <c:y val="4.9210730954835788E-2"/>
          <c:w val="0.14122266439454065"/>
          <c:h val="0.6329019269749391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679860206400414"/>
        </c:manualLayout>
      </c:layout>
      <c:scatterChart>
        <c:scatterStyle val="lineMarker"/>
        <c:varyColors val="0"/>
        <c:ser>
          <c:idx val="1"/>
          <c:order val="0"/>
          <c:tx>
            <c:strRef>
              <c:f>'Run 2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(Ty)'!$E$2:$E$21</c:f>
              <c:numCache>
                <c:formatCode>General</c:formatCode>
                <c:ptCount val="2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</c:numCache>
            </c:numRef>
          </c:xVal>
          <c:yVal>
            <c:numRef>
              <c:f>'Run 2 (Ty)'!$D$2:$D$21</c:f>
              <c:numCache>
                <c:formatCode>General</c:formatCode>
                <c:ptCount val="20"/>
                <c:pt idx="0">
                  <c:v>74.61</c:v>
                </c:pt>
                <c:pt idx="1">
                  <c:v>79.97</c:v>
                </c:pt>
                <c:pt idx="2">
                  <c:v>94.4</c:v>
                </c:pt>
                <c:pt idx="3">
                  <c:v>109.45</c:v>
                </c:pt>
                <c:pt idx="4">
                  <c:v>124.43</c:v>
                </c:pt>
                <c:pt idx="5">
                  <c:v>139.16999999999999</c:v>
                </c:pt>
                <c:pt idx="6">
                  <c:v>153.31</c:v>
                </c:pt>
                <c:pt idx="7">
                  <c:v>166.98</c:v>
                </c:pt>
                <c:pt idx="8">
                  <c:v>178.84</c:v>
                </c:pt>
                <c:pt idx="9">
                  <c:v>193.3</c:v>
                </c:pt>
                <c:pt idx="10">
                  <c:v>205.3</c:v>
                </c:pt>
                <c:pt idx="11">
                  <c:v>218.25</c:v>
                </c:pt>
                <c:pt idx="12">
                  <c:v>234.78</c:v>
                </c:pt>
                <c:pt idx="13">
                  <c:v>258</c:v>
                </c:pt>
                <c:pt idx="14">
                  <c:v>285.07</c:v>
                </c:pt>
                <c:pt idx="15">
                  <c:v>317.8</c:v>
                </c:pt>
                <c:pt idx="16">
                  <c:v>372.19</c:v>
                </c:pt>
                <c:pt idx="17">
                  <c:v>449.55</c:v>
                </c:pt>
                <c:pt idx="18">
                  <c:v>594.48</c:v>
                </c:pt>
                <c:pt idx="19">
                  <c:v>917.14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C-41B3-BEEF-37A01F677704}"/>
            </c:ext>
          </c:extLst>
        </c:ser>
        <c:ser>
          <c:idx val="2"/>
          <c:order val="1"/>
          <c:tx>
            <c:strRef>
              <c:f>'Run 2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(Ty)'!$E$22:$E$41</c:f>
              <c:numCache>
                <c:formatCode>General</c:formatCode>
                <c:ptCount val="2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</c:numCache>
            </c:numRef>
          </c:xVal>
          <c:yVal>
            <c:numRef>
              <c:f>'Run 2 (Ty)'!$D$22:$D$41</c:f>
              <c:numCache>
                <c:formatCode>General</c:formatCode>
                <c:ptCount val="20"/>
                <c:pt idx="0">
                  <c:v>8.31</c:v>
                </c:pt>
                <c:pt idx="1">
                  <c:v>9.69</c:v>
                </c:pt>
                <c:pt idx="2">
                  <c:v>14.1</c:v>
                </c:pt>
                <c:pt idx="3">
                  <c:v>17.96</c:v>
                </c:pt>
                <c:pt idx="4">
                  <c:v>21.81</c:v>
                </c:pt>
                <c:pt idx="5">
                  <c:v>25.36</c:v>
                </c:pt>
                <c:pt idx="6">
                  <c:v>28.39</c:v>
                </c:pt>
                <c:pt idx="7">
                  <c:v>31.28</c:v>
                </c:pt>
                <c:pt idx="8">
                  <c:v>33.619999999999997</c:v>
                </c:pt>
                <c:pt idx="9">
                  <c:v>36.369999999999997</c:v>
                </c:pt>
                <c:pt idx="10">
                  <c:v>38.79</c:v>
                </c:pt>
                <c:pt idx="11">
                  <c:v>41.16</c:v>
                </c:pt>
                <c:pt idx="12">
                  <c:v>44.19</c:v>
                </c:pt>
                <c:pt idx="13">
                  <c:v>47.96</c:v>
                </c:pt>
                <c:pt idx="14">
                  <c:v>52.17</c:v>
                </c:pt>
                <c:pt idx="15">
                  <c:v>57.11</c:v>
                </c:pt>
                <c:pt idx="16">
                  <c:v>64.75</c:v>
                </c:pt>
                <c:pt idx="17">
                  <c:v>75.040000000000006</c:v>
                </c:pt>
                <c:pt idx="18">
                  <c:v>92.33</c:v>
                </c:pt>
                <c:pt idx="19">
                  <c:v>127.82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1C-41B3-BEEF-37A01F677704}"/>
            </c:ext>
          </c:extLst>
        </c:ser>
        <c:ser>
          <c:idx val="3"/>
          <c:order val="2"/>
          <c:tx>
            <c:strRef>
              <c:f>'Run 2 (Ty)'!$A$42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(Ty)'!$E$42:$E$61</c:f>
              <c:numCache>
                <c:formatCode>General</c:formatCode>
                <c:ptCount val="20"/>
                <c:pt idx="0">
                  <c:v>15.44</c:v>
                </c:pt>
                <c:pt idx="1">
                  <c:v>17.399999999999999</c:v>
                </c:pt>
                <c:pt idx="2">
                  <c:v>21.06</c:v>
                </c:pt>
                <c:pt idx="3">
                  <c:v>24.22</c:v>
                </c:pt>
                <c:pt idx="4">
                  <c:v>26.84</c:v>
                </c:pt>
                <c:pt idx="5">
                  <c:v>29.41</c:v>
                </c:pt>
                <c:pt idx="6">
                  <c:v>31.93</c:v>
                </c:pt>
                <c:pt idx="7">
                  <c:v>33.74</c:v>
                </c:pt>
                <c:pt idx="8">
                  <c:v>35.28</c:v>
                </c:pt>
                <c:pt idx="9">
                  <c:v>36.89</c:v>
                </c:pt>
                <c:pt idx="10">
                  <c:v>38.369999999999997</c:v>
                </c:pt>
                <c:pt idx="11">
                  <c:v>40.159999999999997</c:v>
                </c:pt>
                <c:pt idx="12">
                  <c:v>42.19</c:v>
                </c:pt>
                <c:pt idx="13">
                  <c:v>44.55</c:v>
                </c:pt>
                <c:pt idx="14">
                  <c:v>47.72</c:v>
                </c:pt>
                <c:pt idx="15">
                  <c:v>50.85</c:v>
                </c:pt>
                <c:pt idx="16">
                  <c:v>54.43</c:v>
                </c:pt>
                <c:pt idx="17">
                  <c:v>58.84</c:v>
                </c:pt>
                <c:pt idx="18">
                  <c:v>67.650000000000006</c:v>
                </c:pt>
                <c:pt idx="19">
                  <c:v>83.53</c:v>
                </c:pt>
              </c:numCache>
            </c:numRef>
          </c:xVal>
          <c:yVal>
            <c:numRef>
              <c:f>'Run 2 (Ty)'!$D$42:$D$61</c:f>
              <c:numCache>
                <c:formatCode>General</c:formatCode>
                <c:ptCount val="20"/>
                <c:pt idx="0">
                  <c:v>16.78</c:v>
                </c:pt>
                <c:pt idx="1">
                  <c:v>19.13</c:v>
                </c:pt>
                <c:pt idx="2">
                  <c:v>23.11</c:v>
                </c:pt>
                <c:pt idx="3">
                  <c:v>26.86</c:v>
                </c:pt>
                <c:pt idx="4">
                  <c:v>29.71</c:v>
                </c:pt>
                <c:pt idx="5">
                  <c:v>32.67</c:v>
                </c:pt>
                <c:pt idx="6">
                  <c:v>35.159999999999997</c:v>
                </c:pt>
                <c:pt idx="7">
                  <c:v>36.979999999999997</c:v>
                </c:pt>
                <c:pt idx="8">
                  <c:v>38.74</c:v>
                </c:pt>
                <c:pt idx="9">
                  <c:v>40.21</c:v>
                </c:pt>
                <c:pt idx="10">
                  <c:v>41.73</c:v>
                </c:pt>
                <c:pt idx="11">
                  <c:v>43.42</c:v>
                </c:pt>
                <c:pt idx="12">
                  <c:v>45.57</c:v>
                </c:pt>
                <c:pt idx="13">
                  <c:v>48.02</c:v>
                </c:pt>
                <c:pt idx="14">
                  <c:v>51.14</c:v>
                </c:pt>
                <c:pt idx="15">
                  <c:v>54.47</c:v>
                </c:pt>
                <c:pt idx="16">
                  <c:v>58.16</c:v>
                </c:pt>
                <c:pt idx="17">
                  <c:v>62.83</c:v>
                </c:pt>
                <c:pt idx="18">
                  <c:v>72.63</c:v>
                </c:pt>
                <c:pt idx="19">
                  <c:v>90.27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1C-41B3-BEEF-37A01F677704}"/>
            </c:ext>
          </c:extLst>
        </c:ser>
        <c:ser>
          <c:idx val="4"/>
          <c:order val="3"/>
          <c:tx>
            <c:strRef>
              <c:f>'Run 2 (Ty)'!$A$62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(Ty)'!$E$62:$E$81</c:f>
              <c:numCache>
                <c:formatCode>General</c:formatCode>
                <c:ptCount val="20"/>
                <c:pt idx="0">
                  <c:v>12.46</c:v>
                </c:pt>
                <c:pt idx="1">
                  <c:v>14.52</c:v>
                </c:pt>
                <c:pt idx="2">
                  <c:v>19.36</c:v>
                </c:pt>
                <c:pt idx="3">
                  <c:v>23.2</c:v>
                </c:pt>
                <c:pt idx="4">
                  <c:v>27.03</c:v>
                </c:pt>
                <c:pt idx="5">
                  <c:v>30.16</c:v>
                </c:pt>
                <c:pt idx="6">
                  <c:v>33.47</c:v>
                </c:pt>
                <c:pt idx="7">
                  <c:v>37.68</c:v>
                </c:pt>
                <c:pt idx="8">
                  <c:v>39.11</c:v>
                </c:pt>
                <c:pt idx="9">
                  <c:v>40.619999999999997</c:v>
                </c:pt>
                <c:pt idx="10">
                  <c:v>42.18</c:v>
                </c:pt>
                <c:pt idx="11">
                  <c:v>44.29</c:v>
                </c:pt>
                <c:pt idx="12">
                  <c:v>53.72</c:v>
                </c:pt>
                <c:pt idx="13">
                  <c:v>60.18</c:v>
                </c:pt>
                <c:pt idx="14">
                  <c:v>63.32</c:v>
                </c:pt>
                <c:pt idx="15">
                  <c:v>67.239999999999995</c:v>
                </c:pt>
                <c:pt idx="16">
                  <c:v>72.150000000000006</c:v>
                </c:pt>
                <c:pt idx="17">
                  <c:v>79.27</c:v>
                </c:pt>
                <c:pt idx="18">
                  <c:v>99.38</c:v>
                </c:pt>
                <c:pt idx="19">
                  <c:v>131.32</c:v>
                </c:pt>
              </c:numCache>
            </c:numRef>
          </c:xVal>
          <c:yVal>
            <c:numRef>
              <c:f>'Run 2 (Ty)'!$D$62:$D$81</c:f>
              <c:numCache>
                <c:formatCode>General</c:formatCode>
                <c:ptCount val="20"/>
                <c:pt idx="0">
                  <c:v>13.95</c:v>
                </c:pt>
                <c:pt idx="1">
                  <c:v>16.7</c:v>
                </c:pt>
                <c:pt idx="2">
                  <c:v>22.3</c:v>
                </c:pt>
                <c:pt idx="3">
                  <c:v>26.87</c:v>
                </c:pt>
                <c:pt idx="4">
                  <c:v>31.39</c:v>
                </c:pt>
                <c:pt idx="5">
                  <c:v>35.229999999999997</c:v>
                </c:pt>
                <c:pt idx="6">
                  <c:v>38.81</c:v>
                </c:pt>
                <c:pt idx="7">
                  <c:v>43.7</c:v>
                </c:pt>
                <c:pt idx="8">
                  <c:v>45.6</c:v>
                </c:pt>
                <c:pt idx="9">
                  <c:v>47.44</c:v>
                </c:pt>
                <c:pt idx="10">
                  <c:v>49.3</c:v>
                </c:pt>
                <c:pt idx="11">
                  <c:v>51.52</c:v>
                </c:pt>
                <c:pt idx="12">
                  <c:v>61.07</c:v>
                </c:pt>
                <c:pt idx="13">
                  <c:v>68.62</c:v>
                </c:pt>
                <c:pt idx="14">
                  <c:v>72.48</c:v>
                </c:pt>
                <c:pt idx="15">
                  <c:v>76.94</c:v>
                </c:pt>
                <c:pt idx="16">
                  <c:v>82.87</c:v>
                </c:pt>
                <c:pt idx="17">
                  <c:v>90.9</c:v>
                </c:pt>
                <c:pt idx="18">
                  <c:v>113.5</c:v>
                </c:pt>
                <c:pt idx="19">
                  <c:v>150.59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1C-41B3-BEEF-37A01F677704}"/>
            </c:ext>
          </c:extLst>
        </c:ser>
        <c:ser>
          <c:idx val="5"/>
          <c:order val="4"/>
          <c:tx>
            <c:strRef>
              <c:f>'Run 2 (Ty)'!$A$82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(Ty)'!$E$82:$E$101</c:f>
              <c:numCache>
                <c:formatCode>General</c:formatCode>
                <c:ptCount val="20"/>
                <c:pt idx="0">
                  <c:v>18.05</c:v>
                </c:pt>
                <c:pt idx="1">
                  <c:v>23.29</c:v>
                </c:pt>
                <c:pt idx="2">
                  <c:v>33.61</c:v>
                </c:pt>
                <c:pt idx="3">
                  <c:v>42.91</c:v>
                </c:pt>
                <c:pt idx="4">
                  <c:v>51.68</c:v>
                </c:pt>
                <c:pt idx="5">
                  <c:v>60.12</c:v>
                </c:pt>
                <c:pt idx="6">
                  <c:v>68</c:v>
                </c:pt>
                <c:pt idx="7">
                  <c:v>75.739999999999995</c:v>
                </c:pt>
                <c:pt idx="8">
                  <c:v>82.03</c:v>
                </c:pt>
                <c:pt idx="9">
                  <c:v>89.41</c:v>
                </c:pt>
                <c:pt idx="10">
                  <c:v>95.8</c:v>
                </c:pt>
                <c:pt idx="11">
                  <c:v>102.55</c:v>
                </c:pt>
                <c:pt idx="12">
                  <c:v>111.36</c:v>
                </c:pt>
                <c:pt idx="13">
                  <c:v>122.44</c:v>
                </c:pt>
                <c:pt idx="14">
                  <c:v>136.63999999999999</c:v>
                </c:pt>
                <c:pt idx="15">
                  <c:v>153.69</c:v>
                </c:pt>
                <c:pt idx="16">
                  <c:v>180.18</c:v>
                </c:pt>
                <c:pt idx="17">
                  <c:v>216.72</c:v>
                </c:pt>
                <c:pt idx="18">
                  <c:v>278.12</c:v>
                </c:pt>
                <c:pt idx="19">
                  <c:v>400.27</c:v>
                </c:pt>
              </c:numCache>
            </c:numRef>
          </c:xVal>
          <c:yVal>
            <c:numRef>
              <c:f>'Run 2 (Ty)'!$D$82:$D$101</c:f>
              <c:numCache>
                <c:formatCode>General</c:formatCode>
                <c:ptCount val="20"/>
                <c:pt idx="0">
                  <c:v>19.86</c:v>
                </c:pt>
                <c:pt idx="1">
                  <c:v>25.26</c:v>
                </c:pt>
                <c:pt idx="2">
                  <c:v>36.25</c:v>
                </c:pt>
                <c:pt idx="3">
                  <c:v>45.89</c:v>
                </c:pt>
                <c:pt idx="4">
                  <c:v>55.61</c:v>
                </c:pt>
                <c:pt idx="5">
                  <c:v>64.55</c:v>
                </c:pt>
                <c:pt idx="6">
                  <c:v>72.91</c:v>
                </c:pt>
                <c:pt idx="7">
                  <c:v>80.92</c:v>
                </c:pt>
                <c:pt idx="8">
                  <c:v>87.76</c:v>
                </c:pt>
                <c:pt idx="9">
                  <c:v>95.71</c:v>
                </c:pt>
                <c:pt idx="10">
                  <c:v>102.51</c:v>
                </c:pt>
                <c:pt idx="11">
                  <c:v>109.73</c:v>
                </c:pt>
                <c:pt idx="12">
                  <c:v>119.13</c:v>
                </c:pt>
                <c:pt idx="13">
                  <c:v>131.19999999999999</c:v>
                </c:pt>
                <c:pt idx="14">
                  <c:v>146.32</c:v>
                </c:pt>
                <c:pt idx="15">
                  <c:v>164.59</c:v>
                </c:pt>
                <c:pt idx="16">
                  <c:v>192.78</c:v>
                </c:pt>
                <c:pt idx="17">
                  <c:v>232.35</c:v>
                </c:pt>
                <c:pt idx="18">
                  <c:v>299.58999999999997</c:v>
                </c:pt>
                <c:pt idx="19">
                  <c:v>430.35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1C-41B3-BEEF-37A01F677704}"/>
            </c:ext>
          </c:extLst>
        </c:ser>
        <c:ser>
          <c:idx val="0"/>
          <c:order val="5"/>
          <c:tx>
            <c:strRef>
              <c:f>'Run 2 (Ty)'!$A$102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(Ty)'!$E$102:$E$121</c:f>
              <c:numCache>
                <c:formatCode>General</c:formatCode>
                <c:ptCount val="20"/>
                <c:pt idx="0">
                  <c:v>29.48</c:v>
                </c:pt>
                <c:pt idx="1">
                  <c:v>38.08</c:v>
                </c:pt>
                <c:pt idx="2">
                  <c:v>55.05</c:v>
                </c:pt>
                <c:pt idx="3">
                  <c:v>69.38</c:v>
                </c:pt>
                <c:pt idx="4">
                  <c:v>82.16</c:v>
                </c:pt>
                <c:pt idx="5">
                  <c:v>93.72</c:v>
                </c:pt>
                <c:pt idx="6">
                  <c:v>104.3</c:v>
                </c:pt>
                <c:pt idx="7">
                  <c:v>114.69</c:v>
                </c:pt>
                <c:pt idx="8">
                  <c:v>122.64</c:v>
                </c:pt>
                <c:pt idx="9">
                  <c:v>131.59</c:v>
                </c:pt>
                <c:pt idx="10">
                  <c:v>139.16999999999999</c:v>
                </c:pt>
                <c:pt idx="11">
                  <c:v>147.19999999999999</c:v>
                </c:pt>
                <c:pt idx="12">
                  <c:v>157.18</c:v>
                </c:pt>
                <c:pt idx="13">
                  <c:v>169.39</c:v>
                </c:pt>
                <c:pt idx="14">
                  <c:v>184.4</c:v>
                </c:pt>
                <c:pt idx="15">
                  <c:v>201.78</c:v>
                </c:pt>
                <c:pt idx="16">
                  <c:v>229.03</c:v>
                </c:pt>
                <c:pt idx="17">
                  <c:v>266.33</c:v>
                </c:pt>
                <c:pt idx="18">
                  <c:v>330.88</c:v>
                </c:pt>
                <c:pt idx="19">
                  <c:v>468.31</c:v>
                </c:pt>
              </c:numCache>
            </c:numRef>
          </c:xVal>
          <c:yVal>
            <c:numRef>
              <c:f>'Run 2 (Ty)'!$D$102:$D$121</c:f>
              <c:numCache>
                <c:formatCode>General</c:formatCode>
                <c:ptCount val="20"/>
                <c:pt idx="0">
                  <c:v>32.56</c:v>
                </c:pt>
                <c:pt idx="1">
                  <c:v>42.01</c:v>
                </c:pt>
                <c:pt idx="2">
                  <c:v>60.53</c:v>
                </c:pt>
                <c:pt idx="3">
                  <c:v>76.349999999999994</c:v>
                </c:pt>
                <c:pt idx="4">
                  <c:v>90.43</c:v>
                </c:pt>
                <c:pt idx="5">
                  <c:v>103.23</c:v>
                </c:pt>
                <c:pt idx="6">
                  <c:v>114.67</c:v>
                </c:pt>
                <c:pt idx="7">
                  <c:v>125.9</c:v>
                </c:pt>
                <c:pt idx="8">
                  <c:v>134.71</c:v>
                </c:pt>
                <c:pt idx="9">
                  <c:v>144.58000000000001</c:v>
                </c:pt>
                <c:pt idx="10">
                  <c:v>152.88</c:v>
                </c:pt>
                <c:pt idx="11">
                  <c:v>161.74</c:v>
                </c:pt>
                <c:pt idx="12">
                  <c:v>172.74</c:v>
                </c:pt>
                <c:pt idx="13">
                  <c:v>186.25</c:v>
                </c:pt>
                <c:pt idx="14">
                  <c:v>202.59</c:v>
                </c:pt>
                <c:pt idx="15">
                  <c:v>221.23</c:v>
                </c:pt>
                <c:pt idx="16">
                  <c:v>250.39</c:v>
                </c:pt>
                <c:pt idx="17">
                  <c:v>289.89</c:v>
                </c:pt>
                <c:pt idx="18">
                  <c:v>359.64</c:v>
                </c:pt>
                <c:pt idx="19">
                  <c:v>505.41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1C-41B3-BEEF-37A01F677704}"/>
            </c:ext>
          </c:extLst>
        </c:ser>
        <c:ser>
          <c:idx val="6"/>
          <c:order val="6"/>
          <c:tx>
            <c:strRef>
              <c:f>'Run 2 (Ty)'!$A$122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(Ty)'!$E$122:$E$141</c:f>
              <c:numCache>
                <c:formatCode>General</c:formatCode>
                <c:ptCount val="20"/>
                <c:pt idx="0">
                  <c:v>80.63</c:v>
                </c:pt>
                <c:pt idx="1">
                  <c:v>83.7</c:v>
                </c:pt>
                <c:pt idx="2">
                  <c:v>90.95</c:v>
                </c:pt>
                <c:pt idx="3">
                  <c:v>97.94</c:v>
                </c:pt>
                <c:pt idx="4">
                  <c:v>107.17</c:v>
                </c:pt>
                <c:pt idx="5">
                  <c:v>116.69</c:v>
                </c:pt>
                <c:pt idx="6">
                  <c:v>136.57</c:v>
                </c:pt>
                <c:pt idx="7">
                  <c:v>169.46</c:v>
                </c:pt>
                <c:pt idx="8">
                  <c:v>174.5</c:v>
                </c:pt>
                <c:pt idx="9">
                  <c:v>177.78</c:v>
                </c:pt>
                <c:pt idx="10">
                  <c:v>181.53</c:v>
                </c:pt>
                <c:pt idx="11">
                  <c:v>197.41</c:v>
                </c:pt>
                <c:pt idx="12">
                  <c:v>411.47</c:v>
                </c:pt>
                <c:pt idx="13">
                  <c:v>496.21</c:v>
                </c:pt>
                <c:pt idx="14">
                  <c:v>507.11</c:v>
                </c:pt>
                <c:pt idx="15">
                  <c:v>526.52</c:v>
                </c:pt>
                <c:pt idx="16">
                  <c:v>547.5</c:v>
                </c:pt>
                <c:pt idx="17">
                  <c:v>590.63</c:v>
                </c:pt>
                <c:pt idx="18">
                  <c:v>798.17</c:v>
                </c:pt>
                <c:pt idx="19">
                  <c:v>1053.76</c:v>
                </c:pt>
              </c:numCache>
            </c:numRef>
          </c:xVal>
          <c:yVal>
            <c:numRef>
              <c:f>'Run 2 (Ty)'!$D$122:$D$141</c:f>
              <c:numCache>
                <c:formatCode>General</c:formatCode>
                <c:ptCount val="20"/>
                <c:pt idx="0">
                  <c:v>90.15</c:v>
                </c:pt>
                <c:pt idx="1">
                  <c:v>93.89</c:v>
                </c:pt>
                <c:pt idx="2">
                  <c:v>101.62</c:v>
                </c:pt>
                <c:pt idx="3">
                  <c:v>109.96</c:v>
                </c:pt>
                <c:pt idx="4">
                  <c:v>119.91</c:v>
                </c:pt>
                <c:pt idx="5">
                  <c:v>131.15</c:v>
                </c:pt>
                <c:pt idx="6">
                  <c:v>151.44</c:v>
                </c:pt>
                <c:pt idx="7">
                  <c:v>185.79</c:v>
                </c:pt>
                <c:pt idx="8">
                  <c:v>192.75</c:v>
                </c:pt>
                <c:pt idx="9">
                  <c:v>198.69</c:v>
                </c:pt>
                <c:pt idx="10">
                  <c:v>204.74</c:v>
                </c:pt>
                <c:pt idx="11">
                  <c:v>218.96</c:v>
                </c:pt>
                <c:pt idx="12">
                  <c:v>424.73</c:v>
                </c:pt>
                <c:pt idx="13">
                  <c:v>523.87</c:v>
                </c:pt>
                <c:pt idx="14">
                  <c:v>541.24</c:v>
                </c:pt>
                <c:pt idx="15">
                  <c:v>570.17999999999995</c:v>
                </c:pt>
                <c:pt idx="16">
                  <c:v>593.91</c:v>
                </c:pt>
                <c:pt idx="17">
                  <c:v>630.11</c:v>
                </c:pt>
                <c:pt idx="18">
                  <c:v>844.37</c:v>
                </c:pt>
                <c:pt idx="19">
                  <c:v>1144.1400000000001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1C-41B3-BEEF-37A01F677704}"/>
            </c:ext>
          </c:extLst>
        </c:ser>
        <c:ser>
          <c:idx val="7"/>
          <c:order val="7"/>
          <c:tx>
            <c:strRef>
              <c:f>'Run 2 (Ty)'!$A$142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(Ty)'!$E$142:$E$161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45.85</c:v>
                </c:pt>
                <c:pt idx="2">
                  <c:v>62.59</c:v>
                </c:pt>
                <c:pt idx="3">
                  <c:v>77.56</c:v>
                </c:pt>
                <c:pt idx="4">
                  <c:v>91.11</c:v>
                </c:pt>
                <c:pt idx="5">
                  <c:v>104.54</c:v>
                </c:pt>
                <c:pt idx="6">
                  <c:v>116.27</c:v>
                </c:pt>
                <c:pt idx="7">
                  <c:v>130.87</c:v>
                </c:pt>
                <c:pt idx="8">
                  <c:v>139.31</c:v>
                </c:pt>
                <c:pt idx="9">
                  <c:v>147.97</c:v>
                </c:pt>
                <c:pt idx="10">
                  <c:v>157.1</c:v>
                </c:pt>
                <c:pt idx="11">
                  <c:v>168.43</c:v>
                </c:pt>
                <c:pt idx="12">
                  <c:v>184.36</c:v>
                </c:pt>
                <c:pt idx="13">
                  <c:v>206.41</c:v>
                </c:pt>
                <c:pt idx="14">
                  <c:v>223.28</c:v>
                </c:pt>
                <c:pt idx="15">
                  <c:v>246.82</c:v>
                </c:pt>
                <c:pt idx="16">
                  <c:v>282.42</c:v>
                </c:pt>
                <c:pt idx="17">
                  <c:v>315.79000000000002</c:v>
                </c:pt>
                <c:pt idx="18">
                  <c:v>373.58</c:v>
                </c:pt>
                <c:pt idx="19">
                  <c:v>501.45</c:v>
                </c:pt>
              </c:numCache>
            </c:numRef>
          </c:xVal>
          <c:yVal>
            <c:numRef>
              <c:f>'Run 2 (Ty)'!$D$142:$D$161</c:f>
              <c:numCache>
                <c:formatCode>General</c:formatCode>
                <c:ptCount val="20"/>
                <c:pt idx="0">
                  <c:v>42.46</c:v>
                </c:pt>
                <c:pt idx="1">
                  <c:v>50.99</c:v>
                </c:pt>
                <c:pt idx="2">
                  <c:v>69.88</c:v>
                </c:pt>
                <c:pt idx="3">
                  <c:v>86.14</c:v>
                </c:pt>
                <c:pt idx="4">
                  <c:v>101.1</c:v>
                </c:pt>
                <c:pt idx="5">
                  <c:v>115.58</c:v>
                </c:pt>
                <c:pt idx="6">
                  <c:v>128.41</c:v>
                </c:pt>
                <c:pt idx="7">
                  <c:v>143.56</c:v>
                </c:pt>
                <c:pt idx="8">
                  <c:v>152.91</c:v>
                </c:pt>
                <c:pt idx="9">
                  <c:v>162.57</c:v>
                </c:pt>
                <c:pt idx="10">
                  <c:v>172.21</c:v>
                </c:pt>
                <c:pt idx="11">
                  <c:v>184.38</c:v>
                </c:pt>
                <c:pt idx="12">
                  <c:v>200.47</c:v>
                </c:pt>
                <c:pt idx="13">
                  <c:v>224.52</c:v>
                </c:pt>
                <c:pt idx="14">
                  <c:v>242.92</c:v>
                </c:pt>
                <c:pt idx="15">
                  <c:v>267.76</c:v>
                </c:pt>
                <c:pt idx="16">
                  <c:v>305.83</c:v>
                </c:pt>
                <c:pt idx="17">
                  <c:v>341.28</c:v>
                </c:pt>
                <c:pt idx="18">
                  <c:v>404.54</c:v>
                </c:pt>
                <c:pt idx="19">
                  <c:v>541.26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1C-41B3-BEEF-37A01F677704}"/>
            </c:ext>
          </c:extLst>
        </c:ser>
        <c:ser>
          <c:idx val="8"/>
          <c:order val="8"/>
          <c:tx>
            <c:strRef>
              <c:f>'Run 2 (Ty)'!$A$162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(Ty)'!$E$162:$E$181</c:f>
              <c:numCache>
                <c:formatCode>General</c:formatCode>
                <c:ptCount val="20"/>
                <c:pt idx="0">
                  <c:v>26.94</c:v>
                </c:pt>
                <c:pt idx="1">
                  <c:v>31.61</c:v>
                </c:pt>
                <c:pt idx="2">
                  <c:v>41.29</c:v>
                </c:pt>
                <c:pt idx="3">
                  <c:v>49.95</c:v>
                </c:pt>
                <c:pt idx="4">
                  <c:v>57.37</c:v>
                </c:pt>
                <c:pt idx="5">
                  <c:v>64.52</c:v>
                </c:pt>
                <c:pt idx="6">
                  <c:v>71.27</c:v>
                </c:pt>
                <c:pt idx="7">
                  <c:v>77.77</c:v>
                </c:pt>
                <c:pt idx="8">
                  <c:v>83.19</c:v>
                </c:pt>
                <c:pt idx="9">
                  <c:v>89.73</c:v>
                </c:pt>
                <c:pt idx="10">
                  <c:v>95.19</c:v>
                </c:pt>
                <c:pt idx="11">
                  <c:v>100.84</c:v>
                </c:pt>
                <c:pt idx="12">
                  <c:v>108.14</c:v>
                </c:pt>
                <c:pt idx="13">
                  <c:v>117.37</c:v>
                </c:pt>
                <c:pt idx="14">
                  <c:v>128.47999999999999</c:v>
                </c:pt>
                <c:pt idx="15">
                  <c:v>141.32</c:v>
                </c:pt>
                <c:pt idx="16">
                  <c:v>162.26</c:v>
                </c:pt>
                <c:pt idx="17">
                  <c:v>192.6</c:v>
                </c:pt>
                <c:pt idx="18">
                  <c:v>249.98</c:v>
                </c:pt>
                <c:pt idx="19">
                  <c:v>387.51</c:v>
                </c:pt>
              </c:numCache>
            </c:numRef>
          </c:xVal>
          <c:yVal>
            <c:numRef>
              <c:f>'Run 2 (Ty)'!$D$162:$D$181</c:f>
              <c:numCache>
                <c:formatCode>General</c:formatCode>
                <c:ptCount val="20"/>
                <c:pt idx="0">
                  <c:v>29.81</c:v>
                </c:pt>
                <c:pt idx="1">
                  <c:v>35.15</c:v>
                </c:pt>
                <c:pt idx="2">
                  <c:v>46.07</c:v>
                </c:pt>
                <c:pt idx="3">
                  <c:v>55.63</c:v>
                </c:pt>
                <c:pt idx="4">
                  <c:v>63.89</c:v>
                </c:pt>
                <c:pt idx="5">
                  <c:v>71.959999999999994</c:v>
                </c:pt>
                <c:pt idx="6">
                  <c:v>79.38</c:v>
                </c:pt>
                <c:pt idx="7">
                  <c:v>86.34</c:v>
                </c:pt>
                <c:pt idx="8">
                  <c:v>92.33</c:v>
                </c:pt>
                <c:pt idx="9">
                  <c:v>99.45</c:v>
                </c:pt>
                <c:pt idx="10">
                  <c:v>105.32</c:v>
                </c:pt>
                <c:pt idx="11">
                  <c:v>111.21</c:v>
                </c:pt>
                <c:pt idx="12">
                  <c:v>118.92</c:v>
                </c:pt>
                <c:pt idx="13">
                  <c:v>129.13</c:v>
                </c:pt>
                <c:pt idx="14">
                  <c:v>140.74</c:v>
                </c:pt>
                <c:pt idx="15">
                  <c:v>154.34</c:v>
                </c:pt>
                <c:pt idx="16">
                  <c:v>176.58</c:v>
                </c:pt>
                <c:pt idx="17">
                  <c:v>208.56</c:v>
                </c:pt>
                <c:pt idx="18">
                  <c:v>271.25</c:v>
                </c:pt>
                <c:pt idx="19">
                  <c:v>422.98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61C-41B3-BEEF-37A01F677704}"/>
            </c:ext>
          </c:extLst>
        </c:ser>
        <c:ser>
          <c:idx val="9"/>
          <c:order val="9"/>
          <c:tx>
            <c:strRef>
              <c:f>'Run 2 (Ty)'!$A$182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(Ty)'!$E$182:$E$201</c:f>
              <c:numCache>
                <c:formatCode>General</c:formatCode>
                <c:ptCount val="20"/>
                <c:pt idx="0">
                  <c:v>97</c:v>
                </c:pt>
                <c:pt idx="1">
                  <c:v>123.57</c:v>
                </c:pt>
                <c:pt idx="2">
                  <c:v>178.4</c:v>
                </c:pt>
                <c:pt idx="3">
                  <c:v>221.13</c:v>
                </c:pt>
                <c:pt idx="4">
                  <c:v>258.18</c:v>
                </c:pt>
                <c:pt idx="5">
                  <c:v>294.3</c:v>
                </c:pt>
                <c:pt idx="6">
                  <c:v>326.39999999999998</c:v>
                </c:pt>
                <c:pt idx="7">
                  <c:v>379.33</c:v>
                </c:pt>
                <c:pt idx="8">
                  <c:v>396.7</c:v>
                </c:pt>
                <c:pt idx="9">
                  <c:v>412</c:v>
                </c:pt>
                <c:pt idx="10">
                  <c:v>428.34</c:v>
                </c:pt>
                <c:pt idx="11">
                  <c:v>451.68</c:v>
                </c:pt>
                <c:pt idx="12">
                  <c:v>614.88</c:v>
                </c:pt>
                <c:pt idx="13">
                  <c:v>720.99</c:v>
                </c:pt>
                <c:pt idx="14">
                  <c:v>759.79</c:v>
                </c:pt>
                <c:pt idx="15">
                  <c:v>803.81</c:v>
                </c:pt>
                <c:pt idx="16">
                  <c:v>855.83</c:v>
                </c:pt>
                <c:pt idx="17">
                  <c:v>935.07</c:v>
                </c:pt>
                <c:pt idx="18">
                  <c:v>1201.25</c:v>
                </c:pt>
                <c:pt idx="19">
                  <c:v>1583.61</c:v>
                </c:pt>
              </c:numCache>
            </c:numRef>
          </c:xVal>
          <c:yVal>
            <c:numRef>
              <c:f>'Run 2 (Ty)'!$D$182:$D$201</c:f>
              <c:numCache>
                <c:formatCode>General</c:formatCode>
                <c:ptCount val="20"/>
                <c:pt idx="0">
                  <c:v>106.96</c:v>
                </c:pt>
                <c:pt idx="1">
                  <c:v>135.33000000000001</c:v>
                </c:pt>
                <c:pt idx="2">
                  <c:v>193.43</c:v>
                </c:pt>
                <c:pt idx="3">
                  <c:v>239.76</c:v>
                </c:pt>
                <c:pt idx="4">
                  <c:v>280.77999999999997</c:v>
                </c:pt>
                <c:pt idx="5">
                  <c:v>320.54000000000002</c:v>
                </c:pt>
                <c:pt idx="6">
                  <c:v>355.06</c:v>
                </c:pt>
                <c:pt idx="7">
                  <c:v>411.56</c:v>
                </c:pt>
                <c:pt idx="8">
                  <c:v>431.63</c:v>
                </c:pt>
                <c:pt idx="9">
                  <c:v>451.18</c:v>
                </c:pt>
                <c:pt idx="10">
                  <c:v>470.83</c:v>
                </c:pt>
                <c:pt idx="11">
                  <c:v>495.55</c:v>
                </c:pt>
                <c:pt idx="12">
                  <c:v>654.53</c:v>
                </c:pt>
                <c:pt idx="13">
                  <c:v>773.79</c:v>
                </c:pt>
                <c:pt idx="14">
                  <c:v>818.27</c:v>
                </c:pt>
                <c:pt idx="15">
                  <c:v>869.82</c:v>
                </c:pt>
                <c:pt idx="16">
                  <c:v>927.48</c:v>
                </c:pt>
                <c:pt idx="17">
                  <c:v>1006.41</c:v>
                </c:pt>
                <c:pt idx="18">
                  <c:v>1281.8800000000001</c:v>
                </c:pt>
                <c:pt idx="19">
                  <c:v>1712.26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1C-41B3-BEEF-37A01F677704}"/>
            </c:ext>
          </c:extLst>
        </c:ser>
        <c:ser>
          <c:idx val="10"/>
          <c:order val="10"/>
          <c:tx>
            <c:strRef>
              <c:f>'Run 2 (Ty)'!$A$202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(Ty)'!$E$202:$E$221</c:f>
              <c:numCache>
                <c:formatCode>General</c:formatCode>
                <c:ptCount val="20"/>
                <c:pt idx="0">
                  <c:v>36.19</c:v>
                </c:pt>
                <c:pt idx="1">
                  <c:v>45.39</c:v>
                </c:pt>
                <c:pt idx="2">
                  <c:v>64.489999999999995</c:v>
                </c:pt>
                <c:pt idx="3">
                  <c:v>81.680000000000007</c:v>
                </c:pt>
                <c:pt idx="4">
                  <c:v>96.32</c:v>
                </c:pt>
                <c:pt idx="5">
                  <c:v>110.28</c:v>
                </c:pt>
                <c:pt idx="6">
                  <c:v>124.53</c:v>
                </c:pt>
                <c:pt idx="7">
                  <c:v>138.04</c:v>
                </c:pt>
                <c:pt idx="8">
                  <c:v>147.74</c:v>
                </c:pt>
                <c:pt idx="9">
                  <c:v>157.84</c:v>
                </c:pt>
                <c:pt idx="10">
                  <c:v>166.54</c:v>
                </c:pt>
                <c:pt idx="11">
                  <c:v>175.46</c:v>
                </c:pt>
                <c:pt idx="12">
                  <c:v>186.16</c:v>
                </c:pt>
                <c:pt idx="13">
                  <c:v>198.75</c:v>
                </c:pt>
                <c:pt idx="14">
                  <c:v>213.48</c:v>
                </c:pt>
                <c:pt idx="15">
                  <c:v>231.12</c:v>
                </c:pt>
                <c:pt idx="16">
                  <c:v>255.74</c:v>
                </c:pt>
                <c:pt idx="17">
                  <c:v>288.26</c:v>
                </c:pt>
                <c:pt idx="18">
                  <c:v>348.47</c:v>
                </c:pt>
                <c:pt idx="19">
                  <c:v>475.67</c:v>
                </c:pt>
              </c:numCache>
            </c:numRef>
          </c:xVal>
          <c:yVal>
            <c:numRef>
              <c:f>'Run 2 (Ty)'!$D$202:$D$221</c:f>
              <c:numCache>
                <c:formatCode>General</c:formatCode>
                <c:ptCount val="20"/>
                <c:pt idx="0">
                  <c:v>39.49</c:v>
                </c:pt>
                <c:pt idx="1">
                  <c:v>49.92</c:v>
                </c:pt>
                <c:pt idx="2">
                  <c:v>71.599999999999994</c:v>
                </c:pt>
                <c:pt idx="3">
                  <c:v>90.7</c:v>
                </c:pt>
                <c:pt idx="4">
                  <c:v>107.72</c:v>
                </c:pt>
                <c:pt idx="5">
                  <c:v>123.91</c:v>
                </c:pt>
                <c:pt idx="6">
                  <c:v>138.63999999999999</c:v>
                </c:pt>
                <c:pt idx="7">
                  <c:v>151.91</c:v>
                </c:pt>
                <c:pt idx="8">
                  <c:v>161.6</c:v>
                </c:pt>
                <c:pt idx="9">
                  <c:v>171.91</c:v>
                </c:pt>
                <c:pt idx="10">
                  <c:v>180.71</c:v>
                </c:pt>
                <c:pt idx="11">
                  <c:v>190.02</c:v>
                </c:pt>
                <c:pt idx="12">
                  <c:v>201.54</c:v>
                </c:pt>
                <c:pt idx="13">
                  <c:v>215.51</c:v>
                </c:pt>
                <c:pt idx="14">
                  <c:v>230.97</c:v>
                </c:pt>
                <c:pt idx="15">
                  <c:v>249.13</c:v>
                </c:pt>
                <c:pt idx="16">
                  <c:v>275.13</c:v>
                </c:pt>
                <c:pt idx="17">
                  <c:v>310.63</c:v>
                </c:pt>
                <c:pt idx="18">
                  <c:v>378.38</c:v>
                </c:pt>
                <c:pt idx="19">
                  <c:v>520.12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61C-41B3-BEEF-37A01F677704}"/>
            </c:ext>
          </c:extLst>
        </c:ser>
        <c:ser>
          <c:idx val="11"/>
          <c:order val="11"/>
          <c:tx>
            <c:strRef>
              <c:f>'Run 2 (Ty)'!$A$222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2 (Ty)'!$E$222:$E$241</c:f>
              <c:numCache>
                <c:formatCode>General</c:formatCode>
                <c:ptCount val="20"/>
                <c:pt idx="0">
                  <c:v>36.9</c:v>
                </c:pt>
                <c:pt idx="1">
                  <c:v>47.71</c:v>
                </c:pt>
                <c:pt idx="2">
                  <c:v>67.709999999999994</c:v>
                </c:pt>
                <c:pt idx="3">
                  <c:v>84.85</c:v>
                </c:pt>
                <c:pt idx="4">
                  <c:v>100.18</c:v>
                </c:pt>
                <c:pt idx="5">
                  <c:v>114.64</c:v>
                </c:pt>
                <c:pt idx="6">
                  <c:v>128.78</c:v>
                </c:pt>
                <c:pt idx="7">
                  <c:v>141.97999999999999</c:v>
                </c:pt>
                <c:pt idx="8">
                  <c:v>152.55000000000001</c:v>
                </c:pt>
                <c:pt idx="9">
                  <c:v>164.12</c:v>
                </c:pt>
                <c:pt idx="10">
                  <c:v>174.43</c:v>
                </c:pt>
                <c:pt idx="11">
                  <c:v>185.6</c:v>
                </c:pt>
                <c:pt idx="12">
                  <c:v>198.75</c:v>
                </c:pt>
                <c:pt idx="13">
                  <c:v>215.59</c:v>
                </c:pt>
                <c:pt idx="14">
                  <c:v>235.66</c:v>
                </c:pt>
                <c:pt idx="15">
                  <c:v>259.02999999999997</c:v>
                </c:pt>
                <c:pt idx="16">
                  <c:v>294.44</c:v>
                </c:pt>
                <c:pt idx="17">
                  <c:v>342.63</c:v>
                </c:pt>
                <c:pt idx="18">
                  <c:v>426.35</c:v>
                </c:pt>
                <c:pt idx="19">
                  <c:v>603.79</c:v>
                </c:pt>
              </c:numCache>
            </c:numRef>
          </c:xVal>
          <c:yVal>
            <c:numRef>
              <c:f>'Run 2 (Ty)'!$D$222:$D$241</c:f>
              <c:numCache>
                <c:formatCode>General</c:formatCode>
                <c:ptCount val="20"/>
                <c:pt idx="0">
                  <c:v>40.29</c:v>
                </c:pt>
                <c:pt idx="1">
                  <c:v>52.09</c:v>
                </c:pt>
                <c:pt idx="2">
                  <c:v>73.84</c:v>
                </c:pt>
                <c:pt idx="3">
                  <c:v>92.92</c:v>
                </c:pt>
                <c:pt idx="4">
                  <c:v>109.57</c:v>
                </c:pt>
                <c:pt idx="5">
                  <c:v>125.2</c:v>
                </c:pt>
                <c:pt idx="6">
                  <c:v>140.41</c:v>
                </c:pt>
                <c:pt idx="7">
                  <c:v>154.56</c:v>
                </c:pt>
                <c:pt idx="8">
                  <c:v>166.9</c:v>
                </c:pt>
                <c:pt idx="9">
                  <c:v>179.68</c:v>
                </c:pt>
                <c:pt idx="10">
                  <c:v>190.95</c:v>
                </c:pt>
                <c:pt idx="11">
                  <c:v>202.7</c:v>
                </c:pt>
                <c:pt idx="12">
                  <c:v>217.04</c:v>
                </c:pt>
                <c:pt idx="13">
                  <c:v>235.56</c:v>
                </c:pt>
                <c:pt idx="14">
                  <c:v>256.97000000000003</c:v>
                </c:pt>
                <c:pt idx="15">
                  <c:v>281.62</c:v>
                </c:pt>
                <c:pt idx="16">
                  <c:v>319.45</c:v>
                </c:pt>
                <c:pt idx="17">
                  <c:v>370.24</c:v>
                </c:pt>
                <c:pt idx="18">
                  <c:v>459.13</c:v>
                </c:pt>
                <c:pt idx="19">
                  <c:v>645.63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61C-41B3-BEEF-37A01F67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911469717713879"/>
              <c:y val="0.912728468336706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VS QFT Size</a:t>
            </a:r>
          </a:p>
        </c:rich>
      </c:tx>
      <c:layout>
        <c:manualLayout>
          <c:xMode val="edge"/>
          <c:yMode val="edge"/>
          <c:x val="0.4719072996510098"/>
          <c:y val="2.01583873290136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341368002264"/>
          <c:y val="0.1175159152622121"/>
          <c:w val="0.67286727074651764"/>
          <c:h val="0.77717915814386207"/>
        </c:manualLayout>
      </c:layout>
      <c:scatterChart>
        <c:scatterStyle val="lineMarker"/>
        <c:varyColors val="0"/>
        <c:ser>
          <c:idx val="1"/>
          <c:order val="0"/>
          <c:tx>
            <c:v>Lossy Origin</c:v>
          </c:tx>
          <c:spPr>
            <a:ln w="38100">
              <a:noFill/>
            </a:ln>
          </c:spPr>
          <c:xVal>
            <c:numRef>
              <c:f>('Run 2 (Ty)'!$E$2:$E$21,'Run 2 (Ty)'!$E$42:$E$61,'Run 2 (Ty)'!$E$102:$E$121,'Run 2 (Ty)'!$E$182:$E$201)</c:f>
              <c:numCache>
                <c:formatCode>General</c:formatCode>
                <c:ptCount val="80"/>
                <c:pt idx="0">
                  <c:v>66.97</c:v>
                </c:pt>
                <c:pt idx="1">
                  <c:v>71.66</c:v>
                </c:pt>
                <c:pt idx="2">
                  <c:v>84.86</c:v>
                </c:pt>
                <c:pt idx="3">
                  <c:v>98.95</c:v>
                </c:pt>
                <c:pt idx="4">
                  <c:v>112.86</c:v>
                </c:pt>
                <c:pt idx="5">
                  <c:v>126.68</c:v>
                </c:pt>
                <c:pt idx="6">
                  <c:v>140.09</c:v>
                </c:pt>
                <c:pt idx="7">
                  <c:v>153.22999999999999</c:v>
                </c:pt>
                <c:pt idx="8">
                  <c:v>164.24</c:v>
                </c:pt>
                <c:pt idx="9">
                  <c:v>177.65</c:v>
                </c:pt>
                <c:pt idx="10">
                  <c:v>189.21</c:v>
                </c:pt>
                <c:pt idx="11">
                  <c:v>201.62</c:v>
                </c:pt>
                <c:pt idx="12">
                  <c:v>217.51</c:v>
                </c:pt>
                <c:pt idx="13">
                  <c:v>238.59</c:v>
                </c:pt>
                <c:pt idx="14">
                  <c:v>265.04000000000002</c:v>
                </c:pt>
                <c:pt idx="15">
                  <c:v>296.27999999999997</c:v>
                </c:pt>
                <c:pt idx="16">
                  <c:v>348.38</c:v>
                </c:pt>
                <c:pt idx="17">
                  <c:v>423.46</c:v>
                </c:pt>
                <c:pt idx="18">
                  <c:v>558.6</c:v>
                </c:pt>
                <c:pt idx="19">
                  <c:v>858.23</c:v>
                </c:pt>
                <c:pt idx="20">
                  <c:v>15.44</c:v>
                </c:pt>
                <c:pt idx="21">
                  <c:v>17.399999999999999</c:v>
                </c:pt>
                <c:pt idx="22">
                  <c:v>21.06</c:v>
                </c:pt>
                <c:pt idx="23">
                  <c:v>24.22</c:v>
                </c:pt>
                <c:pt idx="24">
                  <c:v>26.84</c:v>
                </c:pt>
                <c:pt idx="25">
                  <c:v>29.41</c:v>
                </c:pt>
                <c:pt idx="26">
                  <c:v>31.93</c:v>
                </c:pt>
                <c:pt idx="27">
                  <c:v>33.74</c:v>
                </c:pt>
                <c:pt idx="28">
                  <c:v>35.28</c:v>
                </c:pt>
                <c:pt idx="29">
                  <c:v>36.89</c:v>
                </c:pt>
                <c:pt idx="30">
                  <c:v>38.369999999999997</c:v>
                </c:pt>
                <c:pt idx="31">
                  <c:v>40.159999999999997</c:v>
                </c:pt>
                <c:pt idx="32">
                  <c:v>42.19</c:v>
                </c:pt>
                <c:pt idx="33">
                  <c:v>44.55</c:v>
                </c:pt>
                <c:pt idx="34">
                  <c:v>47.72</c:v>
                </c:pt>
                <c:pt idx="35">
                  <c:v>50.85</c:v>
                </c:pt>
                <c:pt idx="36">
                  <c:v>54.43</c:v>
                </c:pt>
                <c:pt idx="37">
                  <c:v>58.84</c:v>
                </c:pt>
                <c:pt idx="38">
                  <c:v>67.650000000000006</c:v>
                </c:pt>
                <c:pt idx="39">
                  <c:v>83.53</c:v>
                </c:pt>
                <c:pt idx="40">
                  <c:v>29.48</c:v>
                </c:pt>
                <c:pt idx="41">
                  <c:v>38.08</c:v>
                </c:pt>
                <c:pt idx="42">
                  <c:v>55.05</c:v>
                </c:pt>
                <c:pt idx="43">
                  <c:v>69.38</c:v>
                </c:pt>
                <c:pt idx="44">
                  <c:v>82.16</c:v>
                </c:pt>
                <c:pt idx="45">
                  <c:v>93.72</c:v>
                </c:pt>
                <c:pt idx="46">
                  <c:v>104.3</c:v>
                </c:pt>
                <c:pt idx="47">
                  <c:v>114.69</c:v>
                </c:pt>
                <c:pt idx="48">
                  <c:v>122.64</c:v>
                </c:pt>
                <c:pt idx="49">
                  <c:v>131.59</c:v>
                </c:pt>
                <c:pt idx="50">
                  <c:v>139.16999999999999</c:v>
                </c:pt>
                <c:pt idx="51">
                  <c:v>147.19999999999999</c:v>
                </c:pt>
                <c:pt idx="52">
                  <c:v>157.18</c:v>
                </c:pt>
                <c:pt idx="53">
                  <c:v>169.39</c:v>
                </c:pt>
                <c:pt idx="54">
                  <c:v>184.4</c:v>
                </c:pt>
                <c:pt idx="55">
                  <c:v>201.78</c:v>
                </c:pt>
                <c:pt idx="56">
                  <c:v>229.03</c:v>
                </c:pt>
                <c:pt idx="57">
                  <c:v>266.33</c:v>
                </c:pt>
                <c:pt idx="58">
                  <c:v>330.88</c:v>
                </c:pt>
                <c:pt idx="59">
                  <c:v>468.31</c:v>
                </c:pt>
                <c:pt idx="60">
                  <c:v>97</c:v>
                </c:pt>
                <c:pt idx="61">
                  <c:v>123.57</c:v>
                </c:pt>
                <c:pt idx="62">
                  <c:v>178.4</c:v>
                </c:pt>
                <c:pt idx="63">
                  <c:v>221.13</c:v>
                </c:pt>
                <c:pt idx="64">
                  <c:v>258.18</c:v>
                </c:pt>
                <c:pt idx="65">
                  <c:v>294.3</c:v>
                </c:pt>
                <c:pt idx="66">
                  <c:v>326.39999999999998</c:v>
                </c:pt>
                <c:pt idx="67">
                  <c:v>379.33</c:v>
                </c:pt>
                <c:pt idx="68">
                  <c:v>396.7</c:v>
                </c:pt>
                <c:pt idx="69">
                  <c:v>412</c:v>
                </c:pt>
                <c:pt idx="70">
                  <c:v>428.34</c:v>
                </c:pt>
                <c:pt idx="71">
                  <c:v>451.68</c:v>
                </c:pt>
                <c:pt idx="72">
                  <c:v>614.88</c:v>
                </c:pt>
                <c:pt idx="73">
                  <c:v>720.99</c:v>
                </c:pt>
                <c:pt idx="74">
                  <c:v>759.79</c:v>
                </c:pt>
                <c:pt idx="75">
                  <c:v>803.81</c:v>
                </c:pt>
                <c:pt idx="76">
                  <c:v>855.83</c:v>
                </c:pt>
                <c:pt idx="77">
                  <c:v>935.07</c:v>
                </c:pt>
                <c:pt idx="78">
                  <c:v>1201.25</c:v>
                </c:pt>
                <c:pt idx="79">
                  <c:v>1583.61</c:v>
                </c:pt>
              </c:numCache>
            </c:numRef>
          </c:xVal>
          <c:yVal>
            <c:numRef>
              <c:f>('Run 2 (Ty)'!$D$2:$D$21,'Run 2 (Ty)'!$D$42:$D$61,'Run 2 (Ty)'!$D$102:$D$121,'Run 2 (Ty)'!$D$182:$D$201)</c:f>
              <c:numCache>
                <c:formatCode>General</c:formatCode>
                <c:ptCount val="80"/>
                <c:pt idx="0">
                  <c:v>74.61</c:v>
                </c:pt>
                <c:pt idx="1">
                  <c:v>79.97</c:v>
                </c:pt>
                <c:pt idx="2">
                  <c:v>94.4</c:v>
                </c:pt>
                <c:pt idx="3">
                  <c:v>109.45</c:v>
                </c:pt>
                <c:pt idx="4">
                  <c:v>124.43</c:v>
                </c:pt>
                <c:pt idx="5">
                  <c:v>139.16999999999999</c:v>
                </c:pt>
                <c:pt idx="6">
                  <c:v>153.31</c:v>
                </c:pt>
                <c:pt idx="7">
                  <c:v>166.98</c:v>
                </c:pt>
                <c:pt idx="8">
                  <c:v>178.84</c:v>
                </c:pt>
                <c:pt idx="9">
                  <c:v>193.3</c:v>
                </c:pt>
                <c:pt idx="10">
                  <c:v>205.3</c:v>
                </c:pt>
                <c:pt idx="11">
                  <c:v>218.25</c:v>
                </c:pt>
                <c:pt idx="12">
                  <c:v>234.78</c:v>
                </c:pt>
                <c:pt idx="13">
                  <c:v>258</c:v>
                </c:pt>
                <c:pt idx="14">
                  <c:v>285.07</c:v>
                </c:pt>
                <c:pt idx="15">
                  <c:v>317.8</c:v>
                </c:pt>
                <c:pt idx="16">
                  <c:v>372.19</c:v>
                </c:pt>
                <c:pt idx="17">
                  <c:v>449.55</c:v>
                </c:pt>
                <c:pt idx="18">
                  <c:v>594.48</c:v>
                </c:pt>
                <c:pt idx="19">
                  <c:v>917.14</c:v>
                </c:pt>
                <c:pt idx="20">
                  <c:v>16.78</c:v>
                </c:pt>
                <c:pt idx="21">
                  <c:v>19.13</c:v>
                </c:pt>
                <c:pt idx="22">
                  <c:v>23.11</c:v>
                </c:pt>
                <c:pt idx="23">
                  <c:v>26.86</c:v>
                </c:pt>
                <c:pt idx="24">
                  <c:v>29.71</c:v>
                </c:pt>
                <c:pt idx="25">
                  <c:v>32.67</c:v>
                </c:pt>
                <c:pt idx="26">
                  <c:v>35.159999999999997</c:v>
                </c:pt>
                <c:pt idx="27">
                  <c:v>36.979999999999997</c:v>
                </c:pt>
                <c:pt idx="28">
                  <c:v>38.74</c:v>
                </c:pt>
                <c:pt idx="29">
                  <c:v>40.21</c:v>
                </c:pt>
                <c:pt idx="30">
                  <c:v>41.73</c:v>
                </c:pt>
                <c:pt idx="31">
                  <c:v>43.42</c:v>
                </c:pt>
                <c:pt idx="32">
                  <c:v>45.57</c:v>
                </c:pt>
                <c:pt idx="33">
                  <c:v>48.02</c:v>
                </c:pt>
                <c:pt idx="34">
                  <c:v>51.14</c:v>
                </c:pt>
                <c:pt idx="35">
                  <c:v>54.47</c:v>
                </c:pt>
                <c:pt idx="36">
                  <c:v>58.16</c:v>
                </c:pt>
                <c:pt idx="37">
                  <c:v>62.83</c:v>
                </c:pt>
                <c:pt idx="38">
                  <c:v>72.63</c:v>
                </c:pt>
                <c:pt idx="39">
                  <c:v>90.27</c:v>
                </c:pt>
                <c:pt idx="40">
                  <c:v>32.56</c:v>
                </c:pt>
                <c:pt idx="41">
                  <c:v>42.01</c:v>
                </c:pt>
                <c:pt idx="42">
                  <c:v>60.53</c:v>
                </c:pt>
                <c:pt idx="43">
                  <c:v>76.349999999999994</c:v>
                </c:pt>
                <c:pt idx="44">
                  <c:v>90.43</c:v>
                </c:pt>
                <c:pt idx="45">
                  <c:v>103.23</c:v>
                </c:pt>
                <c:pt idx="46">
                  <c:v>114.67</c:v>
                </c:pt>
                <c:pt idx="47">
                  <c:v>125.9</c:v>
                </c:pt>
                <c:pt idx="48">
                  <c:v>134.71</c:v>
                </c:pt>
                <c:pt idx="49">
                  <c:v>144.58000000000001</c:v>
                </c:pt>
                <c:pt idx="50">
                  <c:v>152.88</c:v>
                </c:pt>
                <c:pt idx="51">
                  <c:v>161.74</c:v>
                </c:pt>
                <c:pt idx="52">
                  <c:v>172.74</c:v>
                </c:pt>
                <c:pt idx="53">
                  <c:v>186.25</c:v>
                </c:pt>
                <c:pt idx="54">
                  <c:v>202.59</c:v>
                </c:pt>
                <c:pt idx="55">
                  <c:v>221.23</c:v>
                </c:pt>
                <c:pt idx="56">
                  <c:v>250.39</c:v>
                </c:pt>
                <c:pt idx="57">
                  <c:v>289.89</c:v>
                </c:pt>
                <c:pt idx="58">
                  <c:v>359.64</c:v>
                </c:pt>
                <c:pt idx="59">
                  <c:v>505.41</c:v>
                </c:pt>
                <c:pt idx="60">
                  <c:v>106.96</c:v>
                </c:pt>
                <c:pt idx="61">
                  <c:v>135.33000000000001</c:v>
                </c:pt>
                <c:pt idx="62">
                  <c:v>193.43</c:v>
                </c:pt>
                <c:pt idx="63">
                  <c:v>239.76</c:v>
                </c:pt>
                <c:pt idx="64">
                  <c:v>280.77999999999997</c:v>
                </c:pt>
                <c:pt idx="65">
                  <c:v>320.54000000000002</c:v>
                </c:pt>
                <c:pt idx="66">
                  <c:v>355.06</c:v>
                </c:pt>
                <c:pt idx="67">
                  <c:v>411.56</c:v>
                </c:pt>
                <c:pt idx="68">
                  <c:v>431.63</c:v>
                </c:pt>
                <c:pt idx="69">
                  <c:v>451.18</c:v>
                </c:pt>
                <c:pt idx="70">
                  <c:v>470.83</c:v>
                </c:pt>
                <c:pt idx="71">
                  <c:v>495.55</c:v>
                </c:pt>
                <c:pt idx="72">
                  <c:v>654.53</c:v>
                </c:pt>
                <c:pt idx="73">
                  <c:v>773.79</c:v>
                </c:pt>
                <c:pt idx="74">
                  <c:v>818.27</c:v>
                </c:pt>
                <c:pt idx="75">
                  <c:v>869.82</c:v>
                </c:pt>
                <c:pt idx="76">
                  <c:v>927.48</c:v>
                </c:pt>
                <c:pt idx="77">
                  <c:v>1006.41</c:v>
                </c:pt>
                <c:pt idx="78">
                  <c:v>1281.8800000000001</c:v>
                </c:pt>
                <c:pt idx="79">
                  <c:v>1712.26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7-44E7-A71B-92C7C2382BA5}"/>
            </c:ext>
          </c:extLst>
        </c:ser>
        <c:ser>
          <c:idx val="2"/>
          <c:order val="1"/>
          <c:tx>
            <c:v>Lossless Origin</c:v>
          </c:tx>
          <c:spPr>
            <a:ln w="38100">
              <a:noFill/>
            </a:ln>
          </c:spPr>
          <c:xVal>
            <c:numRef>
              <c:f>('Run 2 (Ty)'!$E$22:$E$41,'Run 2 (Ty)'!$E$62:$E$81,'Run 2 (Ty)'!$E$82:$E$101,'Run 2 (Ty)'!$E$122:$E$141,'Run 2 (Ty)'!$E$142:$E$181,'Run 2 (Ty)'!$E$202:$E$241)</c:f>
              <c:numCache>
                <c:formatCode>General</c:formatCode>
                <c:ptCount val="160"/>
                <c:pt idx="0">
                  <c:v>7.5</c:v>
                </c:pt>
                <c:pt idx="1">
                  <c:v>8.7899999999999991</c:v>
                </c:pt>
                <c:pt idx="2">
                  <c:v>12.67</c:v>
                </c:pt>
                <c:pt idx="3">
                  <c:v>16.41</c:v>
                </c:pt>
                <c:pt idx="4">
                  <c:v>19.899999999999999</c:v>
                </c:pt>
                <c:pt idx="5">
                  <c:v>23.1</c:v>
                </c:pt>
                <c:pt idx="6">
                  <c:v>25.94</c:v>
                </c:pt>
                <c:pt idx="7">
                  <c:v>28.79</c:v>
                </c:pt>
                <c:pt idx="8">
                  <c:v>30.99</c:v>
                </c:pt>
                <c:pt idx="9">
                  <c:v>33.57</c:v>
                </c:pt>
                <c:pt idx="10">
                  <c:v>35.74</c:v>
                </c:pt>
                <c:pt idx="11">
                  <c:v>38.06</c:v>
                </c:pt>
                <c:pt idx="12">
                  <c:v>41.02</c:v>
                </c:pt>
                <c:pt idx="13">
                  <c:v>44.51</c:v>
                </c:pt>
                <c:pt idx="14">
                  <c:v>48.73</c:v>
                </c:pt>
                <c:pt idx="15">
                  <c:v>53.46</c:v>
                </c:pt>
                <c:pt idx="16">
                  <c:v>60.85</c:v>
                </c:pt>
                <c:pt idx="17">
                  <c:v>70.930000000000007</c:v>
                </c:pt>
                <c:pt idx="18">
                  <c:v>87.36</c:v>
                </c:pt>
                <c:pt idx="19">
                  <c:v>120.82</c:v>
                </c:pt>
                <c:pt idx="20">
                  <c:v>12.46</c:v>
                </c:pt>
                <c:pt idx="21">
                  <c:v>14.52</c:v>
                </c:pt>
                <c:pt idx="22">
                  <c:v>19.36</c:v>
                </c:pt>
                <c:pt idx="23">
                  <c:v>23.2</c:v>
                </c:pt>
                <c:pt idx="24">
                  <c:v>27.03</c:v>
                </c:pt>
                <c:pt idx="25">
                  <c:v>30.16</c:v>
                </c:pt>
                <c:pt idx="26">
                  <c:v>33.47</c:v>
                </c:pt>
                <c:pt idx="27">
                  <c:v>37.68</c:v>
                </c:pt>
                <c:pt idx="28">
                  <c:v>39.11</c:v>
                </c:pt>
                <c:pt idx="29">
                  <c:v>40.619999999999997</c:v>
                </c:pt>
                <c:pt idx="30">
                  <c:v>42.18</c:v>
                </c:pt>
                <c:pt idx="31">
                  <c:v>44.29</c:v>
                </c:pt>
                <c:pt idx="32">
                  <c:v>53.72</c:v>
                </c:pt>
                <c:pt idx="33">
                  <c:v>60.18</c:v>
                </c:pt>
                <c:pt idx="34">
                  <c:v>63.32</c:v>
                </c:pt>
                <c:pt idx="35">
                  <c:v>67.239999999999995</c:v>
                </c:pt>
                <c:pt idx="36">
                  <c:v>72.150000000000006</c:v>
                </c:pt>
                <c:pt idx="37">
                  <c:v>79.27</c:v>
                </c:pt>
                <c:pt idx="38">
                  <c:v>99.38</c:v>
                </c:pt>
                <c:pt idx="39">
                  <c:v>131.32</c:v>
                </c:pt>
                <c:pt idx="40">
                  <c:v>18.05</c:v>
                </c:pt>
                <c:pt idx="41">
                  <c:v>23.29</c:v>
                </c:pt>
                <c:pt idx="42">
                  <c:v>33.61</c:v>
                </c:pt>
                <c:pt idx="43">
                  <c:v>42.91</c:v>
                </c:pt>
                <c:pt idx="44">
                  <c:v>51.68</c:v>
                </c:pt>
                <c:pt idx="45">
                  <c:v>60.12</c:v>
                </c:pt>
                <c:pt idx="46">
                  <c:v>68</c:v>
                </c:pt>
                <c:pt idx="47">
                  <c:v>75.739999999999995</c:v>
                </c:pt>
                <c:pt idx="48">
                  <c:v>82.03</c:v>
                </c:pt>
                <c:pt idx="49">
                  <c:v>89.41</c:v>
                </c:pt>
                <c:pt idx="50">
                  <c:v>95.8</c:v>
                </c:pt>
                <c:pt idx="51">
                  <c:v>102.55</c:v>
                </c:pt>
                <c:pt idx="52">
                  <c:v>111.36</c:v>
                </c:pt>
                <c:pt idx="53">
                  <c:v>122.44</c:v>
                </c:pt>
                <c:pt idx="54">
                  <c:v>136.63999999999999</c:v>
                </c:pt>
                <c:pt idx="55">
                  <c:v>153.69</c:v>
                </c:pt>
                <c:pt idx="56">
                  <c:v>180.18</c:v>
                </c:pt>
                <c:pt idx="57">
                  <c:v>216.72</c:v>
                </c:pt>
                <c:pt idx="58">
                  <c:v>278.12</c:v>
                </c:pt>
                <c:pt idx="59">
                  <c:v>400.27</c:v>
                </c:pt>
                <c:pt idx="60">
                  <c:v>80.63</c:v>
                </c:pt>
                <c:pt idx="61">
                  <c:v>83.7</c:v>
                </c:pt>
                <c:pt idx="62">
                  <c:v>90.95</c:v>
                </c:pt>
                <c:pt idx="63">
                  <c:v>97.94</c:v>
                </c:pt>
                <c:pt idx="64">
                  <c:v>107.17</c:v>
                </c:pt>
                <c:pt idx="65">
                  <c:v>116.69</c:v>
                </c:pt>
                <c:pt idx="66">
                  <c:v>136.57</c:v>
                </c:pt>
                <c:pt idx="67">
                  <c:v>169.46</c:v>
                </c:pt>
                <c:pt idx="68">
                  <c:v>174.5</c:v>
                </c:pt>
                <c:pt idx="69">
                  <c:v>177.78</c:v>
                </c:pt>
                <c:pt idx="70">
                  <c:v>181.53</c:v>
                </c:pt>
                <c:pt idx="71">
                  <c:v>197.41</c:v>
                </c:pt>
                <c:pt idx="72">
                  <c:v>411.47</c:v>
                </c:pt>
                <c:pt idx="73">
                  <c:v>496.21</c:v>
                </c:pt>
                <c:pt idx="74">
                  <c:v>507.11</c:v>
                </c:pt>
                <c:pt idx="75">
                  <c:v>526.52</c:v>
                </c:pt>
                <c:pt idx="76">
                  <c:v>547.5</c:v>
                </c:pt>
                <c:pt idx="77">
                  <c:v>590.63</c:v>
                </c:pt>
                <c:pt idx="78">
                  <c:v>798.17</c:v>
                </c:pt>
                <c:pt idx="79">
                  <c:v>1053.76</c:v>
                </c:pt>
                <c:pt idx="80">
                  <c:v>38.299999999999997</c:v>
                </c:pt>
                <c:pt idx="81">
                  <c:v>45.85</c:v>
                </c:pt>
                <c:pt idx="82">
                  <c:v>62.59</c:v>
                </c:pt>
                <c:pt idx="83">
                  <c:v>77.56</c:v>
                </c:pt>
                <c:pt idx="84">
                  <c:v>91.11</c:v>
                </c:pt>
                <c:pt idx="85">
                  <c:v>104.54</c:v>
                </c:pt>
                <c:pt idx="86">
                  <c:v>116.27</c:v>
                </c:pt>
                <c:pt idx="87">
                  <c:v>130.87</c:v>
                </c:pt>
                <c:pt idx="88">
                  <c:v>139.31</c:v>
                </c:pt>
                <c:pt idx="89">
                  <c:v>147.97</c:v>
                </c:pt>
                <c:pt idx="90">
                  <c:v>157.1</c:v>
                </c:pt>
                <c:pt idx="91">
                  <c:v>168.43</c:v>
                </c:pt>
                <c:pt idx="92">
                  <c:v>184.36</c:v>
                </c:pt>
                <c:pt idx="93">
                  <c:v>206.41</c:v>
                </c:pt>
                <c:pt idx="94">
                  <c:v>223.28</c:v>
                </c:pt>
                <c:pt idx="95">
                  <c:v>246.82</c:v>
                </c:pt>
                <c:pt idx="96">
                  <c:v>282.42</c:v>
                </c:pt>
                <c:pt idx="97">
                  <c:v>315.79000000000002</c:v>
                </c:pt>
                <c:pt idx="98">
                  <c:v>373.58</c:v>
                </c:pt>
                <c:pt idx="99">
                  <c:v>501.45</c:v>
                </c:pt>
                <c:pt idx="100">
                  <c:v>26.94</c:v>
                </c:pt>
                <c:pt idx="101">
                  <c:v>31.61</c:v>
                </c:pt>
                <c:pt idx="102">
                  <c:v>41.29</c:v>
                </c:pt>
                <c:pt idx="103">
                  <c:v>49.95</c:v>
                </c:pt>
                <c:pt idx="104">
                  <c:v>57.37</c:v>
                </c:pt>
                <c:pt idx="105">
                  <c:v>64.52</c:v>
                </c:pt>
                <c:pt idx="106">
                  <c:v>71.27</c:v>
                </c:pt>
                <c:pt idx="107">
                  <c:v>77.77</c:v>
                </c:pt>
                <c:pt idx="108">
                  <c:v>83.19</c:v>
                </c:pt>
                <c:pt idx="109">
                  <c:v>89.73</c:v>
                </c:pt>
                <c:pt idx="110">
                  <c:v>95.19</c:v>
                </c:pt>
                <c:pt idx="111">
                  <c:v>100.84</c:v>
                </c:pt>
                <c:pt idx="112">
                  <c:v>108.14</c:v>
                </c:pt>
                <c:pt idx="113">
                  <c:v>117.37</c:v>
                </c:pt>
                <c:pt idx="114">
                  <c:v>128.47999999999999</c:v>
                </c:pt>
                <c:pt idx="115">
                  <c:v>141.32</c:v>
                </c:pt>
                <c:pt idx="116">
                  <c:v>162.26</c:v>
                </c:pt>
                <c:pt idx="117">
                  <c:v>192.6</c:v>
                </c:pt>
                <c:pt idx="118">
                  <c:v>249.98</c:v>
                </c:pt>
                <c:pt idx="119">
                  <c:v>387.51</c:v>
                </c:pt>
                <c:pt idx="120">
                  <c:v>36.19</c:v>
                </c:pt>
                <c:pt idx="121">
                  <c:v>45.39</c:v>
                </c:pt>
                <c:pt idx="122">
                  <c:v>64.489999999999995</c:v>
                </c:pt>
                <c:pt idx="123">
                  <c:v>81.680000000000007</c:v>
                </c:pt>
                <c:pt idx="124">
                  <c:v>96.32</c:v>
                </c:pt>
                <c:pt idx="125">
                  <c:v>110.28</c:v>
                </c:pt>
                <c:pt idx="126">
                  <c:v>124.53</c:v>
                </c:pt>
                <c:pt idx="127">
                  <c:v>138.04</c:v>
                </c:pt>
                <c:pt idx="128">
                  <c:v>147.74</c:v>
                </c:pt>
                <c:pt idx="129">
                  <c:v>157.84</c:v>
                </c:pt>
                <c:pt idx="130">
                  <c:v>166.54</c:v>
                </c:pt>
                <c:pt idx="131">
                  <c:v>175.46</c:v>
                </c:pt>
                <c:pt idx="132">
                  <c:v>186.16</c:v>
                </c:pt>
                <c:pt idx="133">
                  <c:v>198.75</c:v>
                </c:pt>
                <c:pt idx="134">
                  <c:v>213.48</c:v>
                </c:pt>
                <c:pt idx="135">
                  <c:v>231.12</c:v>
                </c:pt>
                <c:pt idx="136">
                  <c:v>255.74</c:v>
                </c:pt>
                <c:pt idx="137">
                  <c:v>288.26</c:v>
                </c:pt>
                <c:pt idx="138">
                  <c:v>348.47</c:v>
                </c:pt>
                <c:pt idx="139">
                  <c:v>475.67</c:v>
                </c:pt>
                <c:pt idx="140">
                  <c:v>36.9</c:v>
                </c:pt>
                <c:pt idx="141">
                  <c:v>47.71</c:v>
                </c:pt>
                <c:pt idx="142">
                  <c:v>67.709999999999994</c:v>
                </c:pt>
                <c:pt idx="143">
                  <c:v>84.85</c:v>
                </c:pt>
                <c:pt idx="144">
                  <c:v>100.18</c:v>
                </c:pt>
                <c:pt idx="145">
                  <c:v>114.64</c:v>
                </c:pt>
                <c:pt idx="146">
                  <c:v>128.78</c:v>
                </c:pt>
                <c:pt idx="147">
                  <c:v>141.97999999999999</c:v>
                </c:pt>
                <c:pt idx="148">
                  <c:v>152.55000000000001</c:v>
                </c:pt>
                <c:pt idx="149">
                  <c:v>164.12</c:v>
                </c:pt>
                <c:pt idx="150">
                  <c:v>174.43</c:v>
                </c:pt>
                <c:pt idx="151">
                  <c:v>185.6</c:v>
                </c:pt>
                <c:pt idx="152">
                  <c:v>198.75</c:v>
                </c:pt>
                <c:pt idx="153">
                  <c:v>215.59</c:v>
                </c:pt>
                <c:pt idx="154">
                  <c:v>235.66</c:v>
                </c:pt>
                <c:pt idx="155">
                  <c:v>259.02999999999997</c:v>
                </c:pt>
                <c:pt idx="156">
                  <c:v>294.44</c:v>
                </c:pt>
                <c:pt idx="157">
                  <c:v>342.63</c:v>
                </c:pt>
                <c:pt idx="158">
                  <c:v>426.35</c:v>
                </c:pt>
                <c:pt idx="159">
                  <c:v>603.79</c:v>
                </c:pt>
              </c:numCache>
            </c:numRef>
          </c:xVal>
          <c:yVal>
            <c:numRef>
              <c:f>('Run 2 (Ty)'!$D$22:$D$41,'Run 2 (Ty)'!$D$62:$D$81,'Run 2 (Ty)'!$D$82:$D$101,'Run 2 (Ty)'!$D$122:$D$141,'Run 2 (Ty)'!$D$142:$D$181,'Run 2 (Ty)'!$D$202:$D$241)</c:f>
              <c:numCache>
                <c:formatCode>General</c:formatCode>
                <c:ptCount val="160"/>
                <c:pt idx="0">
                  <c:v>8.31</c:v>
                </c:pt>
                <c:pt idx="1">
                  <c:v>9.69</c:v>
                </c:pt>
                <c:pt idx="2">
                  <c:v>14.1</c:v>
                </c:pt>
                <c:pt idx="3">
                  <c:v>17.96</c:v>
                </c:pt>
                <c:pt idx="4">
                  <c:v>21.81</c:v>
                </c:pt>
                <c:pt idx="5">
                  <c:v>25.36</c:v>
                </c:pt>
                <c:pt idx="6">
                  <c:v>28.39</c:v>
                </c:pt>
                <c:pt idx="7">
                  <c:v>31.28</c:v>
                </c:pt>
                <c:pt idx="8">
                  <c:v>33.619999999999997</c:v>
                </c:pt>
                <c:pt idx="9">
                  <c:v>36.369999999999997</c:v>
                </c:pt>
                <c:pt idx="10">
                  <c:v>38.79</c:v>
                </c:pt>
                <c:pt idx="11">
                  <c:v>41.16</c:v>
                </c:pt>
                <c:pt idx="12">
                  <c:v>44.19</c:v>
                </c:pt>
                <c:pt idx="13">
                  <c:v>47.96</c:v>
                </c:pt>
                <c:pt idx="14">
                  <c:v>52.17</c:v>
                </c:pt>
                <c:pt idx="15">
                  <c:v>57.11</c:v>
                </c:pt>
                <c:pt idx="16">
                  <c:v>64.75</c:v>
                </c:pt>
                <c:pt idx="17">
                  <c:v>75.040000000000006</c:v>
                </c:pt>
                <c:pt idx="18">
                  <c:v>92.33</c:v>
                </c:pt>
                <c:pt idx="19">
                  <c:v>127.82</c:v>
                </c:pt>
                <c:pt idx="20">
                  <c:v>13.95</c:v>
                </c:pt>
                <c:pt idx="21">
                  <c:v>16.7</c:v>
                </c:pt>
                <c:pt idx="22">
                  <c:v>22.3</c:v>
                </c:pt>
                <c:pt idx="23">
                  <c:v>26.87</c:v>
                </c:pt>
                <c:pt idx="24">
                  <c:v>31.39</c:v>
                </c:pt>
                <c:pt idx="25">
                  <c:v>35.229999999999997</c:v>
                </c:pt>
                <c:pt idx="26">
                  <c:v>38.81</c:v>
                </c:pt>
                <c:pt idx="27">
                  <c:v>43.7</c:v>
                </c:pt>
                <c:pt idx="28">
                  <c:v>45.6</c:v>
                </c:pt>
                <c:pt idx="29">
                  <c:v>47.44</c:v>
                </c:pt>
                <c:pt idx="30">
                  <c:v>49.3</c:v>
                </c:pt>
                <c:pt idx="31">
                  <c:v>51.52</c:v>
                </c:pt>
                <c:pt idx="32">
                  <c:v>61.07</c:v>
                </c:pt>
                <c:pt idx="33">
                  <c:v>68.62</c:v>
                </c:pt>
                <c:pt idx="34">
                  <c:v>72.48</c:v>
                </c:pt>
                <c:pt idx="35">
                  <c:v>76.94</c:v>
                </c:pt>
                <c:pt idx="36">
                  <c:v>82.87</c:v>
                </c:pt>
                <c:pt idx="37">
                  <c:v>90.9</c:v>
                </c:pt>
                <c:pt idx="38">
                  <c:v>113.5</c:v>
                </c:pt>
                <c:pt idx="39">
                  <c:v>150.59</c:v>
                </c:pt>
                <c:pt idx="40">
                  <c:v>19.86</c:v>
                </c:pt>
                <c:pt idx="41">
                  <c:v>25.26</c:v>
                </c:pt>
                <c:pt idx="42">
                  <c:v>36.25</c:v>
                </c:pt>
                <c:pt idx="43">
                  <c:v>45.89</c:v>
                </c:pt>
                <c:pt idx="44">
                  <c:v>55.61</c:v>
                </c:pt>
                <c:pt idx="45">
                  <c:v>64.55</c:v>
                </c:pt>
                <c:pt idx="46">
                  <c:v>72.91</c:v>
                </c:pt>
                <c:pt idx="47">
                  <c:v>80.92</c:v>
                </c:pt>
                <c:pt idx="48">
                  <c:v>87.76</c:v>
                </c:pt>
                <c:pt idx="49">
                  <c:v>95.71</c:v>
                </c:pt>
                <c:pt idx="50">
                  <c:v>102.51</c:v>
                </c:pt>
                <c:pt idx="51">
                  <c:v>109.73</c:v>
                </c:pt>
                <c:pt idx="52">
                  <c:v>119.13</c:v>
                </c:pt>
                <c:pt idx="53">
                  <c:v>131.19999999999999</c:v>
                </c:pt>
                <c:pt idx="54">
                  <c:v>146.32</c:v>
                </c:pt>
                <c:pt idx="55">
                  <c:v>164.59</c:v>
                </c:pt>
                <c:pt idx="56">
                  <c:v>192.78</c:v>
                </c:pt>
                <c:pt idx="57">
                  <c:v>232.35</c:v>
                </c:pt>
                <c:pt idx="58">
                  <c:v>299.58999999999997</c:v>
                </c:pt>
                <c:pt idx="59">
                  <c:v>430.35</c:v>
                </c:pt>
                <c:pt idx="60">
                  <c:v>90.15</c:v>
                </c:pt>
                <c:pt idx="61">
                  <c:v>93.89</c:v>
                </c:pt>
                <c:pt idx="62">
                  <c:v>101.62</c:v>
                </c:pt>
                <c:pt idx="63">
                  <c:v>109.96</c:v>
                </c:pt>
                <c:pt idx="64">
                  <c:v>119.91</c:v>
                </c:pt>
                <c:pt idx="65">
                  <c:v>131.15</c:v>
                </c:pt>
                <c:pt idx="66">
                  <c:v>151.44</c:v>
                </c:pt>
                <c:pt idx="67">
                  <c:v>185.79</c:v>
                </c:pt>
                <c:pt idx="68">
                  <c:v>192.75</c:v>
                </c:pt>
                <c:pt idx="69">
                  <c:v>198.69</c:v>
                </c:pt>
                <c:pt idx="70">
                  <c:v>204.74</c:v>
                </c:pt>
                <c:pt idx="71">
                  <c:v>218.96</c:v>
                </c:pt>
                <c:pt idx="72">
                  <c:v>424.73</c:v>
                </c:pt>
                <c:pt idx="73">
                  <c:v>523.87</c:v>
                </c:pt>
                <c:pt idx="74">
                  <c:v>541.24</c:v>
                </c:pt>
                <c:pt idx="75">
                  <c:v>570.17999999999995</c:v>
                </c:pt>
                <c:pt idx="76">
                  <c:v>593.91</c:v>
                </c:pt>
                <c:pt idx="77">
                  <c:v>630.11</c:v>
                </c:pt>
                <c:pt idx="78">
                  <c:v>844.37</c:v>
                </c:pt>
                <c:pt idx="79">
                  <c:v>1144.1400000000001</c:v>
                </c:pt>
                <c:pt idx="80">
                  <c:v>42.46</c:v>
                </c:pt>
                <c:pt idx="81">
                  <c:v>50.99</c:v>
                </c:pt>
                <c:pt idx="82">
                  <c:v>69.88</c:v>
                </c:pt>
                <c:pt idx="83">
                  <c:v>86.14</c:v>
                </c:pt>
                <c:pt idx="84">
                  <c:v>101.1</c:v>
                </c:pt>
                <c:pt idx="85">
                  <c:v>115.58</c:v>
                </c:pt>
                <c:pt idx="86">
                  <c:v>128.41</c:v>
                </c:pt>
                <c:pt idx="87">
                  <c:v>143.56</c:v>
                </c:pt>
                <c:pt idx="88">
                  <c:v>152.91</c:v>
                </c:pt>
                <c:pt idx="89">
                  <c:v>162.57</c:v>
                </c:pt>
                <c:pt idx="90">
                  <c:v>172.21</c:v>
                </c:pt>
                <c:pt idx="91">
                  <c:v>184.38</c:v>
                </c:pt>
                <c:pt idx="92">
                  <c:v>200.47</c:v>
                </c:pt>
                <c:pt idx="93">
                  <c:v>224.52</c:v>
                </c:pt>
                <c:pt idx="94">
                  <c:v>242.92</c:v>
                </c:pt>
                <c:pt idx="95">
                  <c:v>267.76</c:v>
                </c:pt>
                <c:pt idx="96">
                  <c:v>305.83</c:v>
                </c:pt>
                <c:pt idx="97">
                  <c:v>341.28</c:v>
                </c:pt>
                <c:pt idx="98">
                  <c:v>404.54</c:v>
                </c:pt>
                <c:pt idx="99">
                  <c:v>541.26</c:v>
                </c:pt>
                <c:pt idx="100">
                  <c:v>29.81</c:v>
                </c:pt>
                <c:pt idx="101">
                  <c:v>35.15</c:v>
                </c:pt>
                <c:pt idx="102">
                  <c:v>46.07</c:v>
                </c:pt>
                <c:pt idx="103">
                  <c:v>55.63</c:v>
                </c:pt>
                <c:pt idx="104">
                  <c:v>63.89</c:v>
                </c:pt>
                <c:pt idx="105">
                  <c:v>71.959999999999994</c:v>
                </c:pt>
                <c:pt idx="106">
                  <c:v>79.38</c:v>
                </c:pt>
                <c:pt idx="107">
                  <c:v>86.34</c:v>
                </c:pt>
                <c:pt idx="108">
                  <c:v>92.33</c:v>
                </c:pt>
                <c:pt idx="109">
                  <c:v>99.45</c:v>
                </c:pt>
                <c:pt idx="110">
                  <c:v>105.32</c:v>
                </c:pt>
                <c:pt idx="111">
                  <c:v>111.21</c:v>
                </c:pt>
                <c:pt idx="112">
                  <c:v>118.92</c:v>
                </c:pt>
                <c:pt idx="113">
                  <c:v>129.13</c:v>
                </c:pt>
                <c:pt idx="114">
                  <c:v>140.74</c:v>
                </c:pt>
                <c:pt idx="115">
                  <c:v>154.34</c:v>
                </c:pt>
                <c:pt idx="116">
                  <c:v>176.58</c:v>
                </c:pt>
                <c:pt idx="117">
                  <c:v>208.56</c:v>
                </c:pt>
                <c:pt idx="118">
                  <c:v>271.25</c:v>
                </c:pt>
                <c:pt idx="119">
                  <c:v>422.98</c:v>
                </c:pt>
                <c:pt idx="120">
                  <c:v>39.49</c:v>
                </c:pt>
                <c:pt idx="121">
                  <c:v>49.92</c:v>
                </c:pt>
                <c:pt idx="122">
                  <c:v>71.599999999999994</c:v>
                </c:pt>
                <c:pt idx="123">
                  <c:v>90.7</c:v>
                </c:pt>
                <c:pt idx="124">
                  <c:v>107.72</c:v>
                </c:pt>
                <c:pt idx="125">
                  <c:v>123.91</c:v>
                </c:pt>
                <c:pt idx="126">
                  <c:v>138.63999999999999</c:v>
                </c:pt>
                <c:pt idx="127">
                  <c:v>151.91</c:v>
                </c:pt>
                <c:pt idx="128">
                  <c:v>161.6</c:v>
                </c:pt>
                <c:pt idx="129">
                  <c:v>171.91</c:v>
                </c:pt>
                <c:pt idx="130">
                  <c:v>180.71</c:v>
                </c:pt>
                <c:pt idx="131">
                  <c:v>190.02</c:v>
                </c:pt>
                <c:pt idx="132">
                  <c:v>201.54</c:v>
                </c:pt>
                <c:pt idx="133">
                  <c:v>215.51</c:v>
                </c:pt>
                <c:pt idx="134">
                  <c:v>230.97</c:v>
                </c:pt>
                <c:pt idx="135">
                  <c:v>249.13</c:v>
                </c:pt>
                <c:pt idx="136">
                  <c:v>275.13</c:v>
                </c:pt>
                <c:pt idx="137">
                  <c:v>310.63</c:v>
                </c:pt>
                <c:pt idx="138">
                  <c:v>378.38</c:v>
                </c:pt>
                <c:pt idx="139">
                  <c:v>520.12</c:v>
                </c:pt>
                <c:pt idx="140">
                  <c:v>40.29</c:v>
                </c:pt>
                <c:pt idx="141">
                  <c:v>52.09</c:v>
                </c:pt>
                <c:pt idx="142">
                  <c:v>73.84</c:v>
                </c:pt>
                <c:pt idx="143">
                  <c:v>92.92</c:v>
                </c:pt>
                <c:pt idx="144">
                  <c:v>109.57</c:v>
                </c:pt>
                <c:pt idx="145">
                  <c:v>125.2</c:v>
                </c:pt>
                <c:pt idx="146">
                  <c:v>140.41</c:v>
                </c:pt>
                <c:pt idx="147">
                  <c:v>154.56</c:v>
                </c:pt>
                <c:pt idx="148">
                  <c:v>166.9</c:v>
                </c:pt>
                <c:pt idx="149">
                  <c:v>179.68</c:v>
                </c:pt>
                <c:pt idx="150">
                  <c:v>190.95</c:v>
                </c:pt>
                <c:pt idx="151">
                  <c:v>202.7</c:v>
                </c:pt>
                <c:pt idx="152">
                  <c:v>217.04</c:v>
                </c:pt>
                <c:pt idx="153">
                  <c:v>235.56</c:v>
                </c:pt>
                <c:pt idx="154">
                  <c:v>256.97000000000003</c:v>
                </c:pt>
                <c:pt idx="155">
                  <c:v>281.62</c:v>
                </c:pt>
                <c:pt idx="156">
                  <c:v>319.45</c:v>
                </c:pt>
                <c:pt idx="157">
                  <c:v>370.24</c:v>
                </c:pt>
                <c:pt idx="158">
                  <c:v>459.13</c:v>
                </c:pt>
                <c:pt idx="159">
                  <c:v>645.63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E7-44E7-A71B-92C7C2382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</c:scatterChart>
      <c:valAx>
        <c:axId val="12315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JPEG Size [KB]</a:t>
                </a:r>
              </a:p>
            </c:rich>
          </c:tx>
          <c:layout>
            <c:manualLayout>
              <c:xMode val="edge"/>
              <c:yMode val="edge"/>
              <c:x val="0.54754875395429392"/>
              <c:y val="0.921921669763318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QJPEG</a:t>
                </a:r>
                <a:r>
                  <a:rPr lang="en-CA" baseline="0"/>
                  <a:t> [KB]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16999107875541547"/>
              <c:y val="0.385413060516723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1.3296877633663202E-2"/>
          <c:y val="2.3534973895001785E-2"/>
          <c:w val="0.15310273734857158"/>
          <c:h val="0.160642115319223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DCT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143112900395609"/>
          <c:y val="0.12039579559597302"/>
          <c:w val="0.7526801306850941"/>
          <c:h val="0.76291854446919849"/>
        </c:manualLayout>
      </c:layout>
      <c:scatterChart>
        <c:scatterStyle val="lineMarker"/>
        <c:varyColors val="0"/>
        <c:ser>
          <c:idx val="13"/>
          <c:order val="1"/>
          <c:tx>
            <c:strRef>
              <c:f>'Run 1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(Alex)'!$I$23:$I$43</c:f>
              <c:numCache>
                <c:formatCode>General</c:formatCode>
                <c:ptCount val="21"/>
                <c:pt idx="0">
                  <c:v>0.22263056092843325</c:v>
                </c:pt>
                <c:pt idx="1">
                  <c:v>0.22533849129593811</c:v>
                </c:pt>
                <c:pt idx="2">
                  <c:v>0.24487427466150868</c:v>
                </c:pt>
                <c:pt idx="3">
                  <c:v>0.26305609284332687</c:v>
                </c:pt>
                <c:pt idx="4">
                  <c:v>0.27891682785299804</c:v>
                </c:pt>
                <c:pt idx="5">
                  <c:v>0.29535783365570595</c:v>
                </c:pt>
                <c:pt idx="6">
                  <c:v>0.30735009671179886</c:v>
                </c:pt>
                <c:pt idx="7">
                  <c:v>0.32185686653771761</c:v>
                </c:pt>
                <c:pt idx="8">
                  <c:v>0.33307543520309474</c:v>
                </c:pt>
                <c:pt idx="9">
                  <c:v>0.34642166344294001</c:v>
                </c:pt>
                <c:pt idx="10">
                  <c:v>0.35860735009671174</c:v>
                </c:pt>
                <c:pt idx="11">
                  <c:v>0.37098646034816246</c:v>
                </c:pt>
                <c:pt idx="12">
                  <c:v>0.3866537717601547</c:v>
                </c:pt>
                <c:pt idx="13">
                  <c:v>0.40657640232108316</c:v>
                </c:pt>
                <c:pt idx="14">
                  <c:v>0.43075435203094775</c:v>
                </c:pt>
                <c:pt idx="15">
                  <c:v>0.46073500967117986</c:v>
                </c:pt>
                <c:pt idx="16">
                  <c:v>0.51102514506769825</c:v>
                </c:pt>
                <c:pt idx="17">
                  <c:v>0.58143133462282393</c:v>
                </c:pt>
                <c:pt idx="18">
                  <c:v>0.70735009671179883</c:v>
                </c:pt>
                <c:pt idx="19">
                  <c:v>0.98259187620889743</c:v>
                </c:pt>
                <c:pt idx="20">
                  <c:v>1.9406189555125724</c:v>
                </c:pt>
              </c:numCache>
            </c:numRef>
          </c:xVal>
          <c:yVal>
            <c:numRef>
              <c:f>'Run 1 (Alex)'!$G$23:$G$43</c:f>
              <c:numCache>
                <c:formatCode>General</c:formatCode>
                <c:ptCount val="21"/>
                <c:pt idx="0">
                  <c:v>1.37E-2</c:v>
                </c:pt>
                <c:pt idx="1">
                  <c:v>1.8499999999999999E-2</c:v>
                </c:pt>
                <c:pt idx="2">
                  <c:v>1.8200000000000001E-2</c:v>
                </c:pt>
                <c:pt idx="3">
                  <c:v>1.2999999999999999E-2</c:v>
                </c:pt>
                <c:pt idx="4">
                  <c:v>1.3599999999999999E-2</c:v>
                </c:pt>
                <c:pt idx="5">
                  <c:v>1.5599999999999999E-2</c:v>
                </c:pt>
                <c:pt idx="6">
                  <c:v>1.2E-2</c:v>
                </c:pt>
                <c:pt idx="7">
                  <c:v>6.0000000000000001E-3</c:v>
                </c:pt>
                <c:pt idx="8">
                  <c:v>8.0000000000000002E-3</c:v>
                </c:pt>
                <c:pt idx="9">
                  <c:v>0</c:v>
                </c:pt>
                <c:pt idx="10">
                  <c:v>0</c:v>
                </c:pt>
                <c:pt idx="11">
                  <c:v>7.7999999999999996E-3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1.1299999999999999E-2</c:v>
                </c:pt>
                <c:pt idx="15">
                  <c:v>0</c:v>
                </c:pt>
                <c:pt idx="16">
                  <c:v>0</c:v>
                </c:pt>
                <c:pt idx="17">
                  <c:v>1.9599999999999999E-2</c:v>
                </c:pt>
                <c:pt idx="18">
                  <c:v>2.12E-2</c:v>
                </c:pt>
                <c:pt idx="19">
                  <c:v>1.84E-2</c:v>
                </c:pt>
                <c:pt idx="20">
                  <c:v>1.0500000000000001E-2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975-434F-A289-C7C240FB186B}"/>
            </c:ext>
          </c:extLst>
        </c:ser>
        <c:ser>
          <c:idx val="14"/>
          <c:order val="2"/>
          <c:tx>
            <c:strRef>
              <c:f>'Run 1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(Alex)'!$I$44:$I$64</c:f>
              <c:numCache>
                <c:formatCode>General</c:formatCode>
                <c:ptCount val="21"/>
                <c:pt idx="0">
                  <c:v>1.1550352317132497E-2</c:v>
                </c:pt>
                <c:pt idx="1">
                  <c:v>1.1602663695380381E-2</c:v>
                </c:pt>
                <c:pt idx="2">
                  <c:v>1.2471032574295235E-2</c:v>
                </c:pt>
                <c:pt idx="3">
                  <c:v>1.3396943969282758E-2</c:v>
                </c:pt>
                <c:pt idx="4">
                  <c:v>1.4558256566385753E-2</c:v>
                </c:pt>
                <c:pt idx="5">
                  <c:v>1.5682951198715232E-2</c:v>
                </c:pt>
                <c:pt idx="6">
                  <c:v>1.6849494933643017E-2</c:v>
                </c:pt>
                <c:pt idx="7">
                  <c:v>1.8063118908993894E-2</c:v>
                </c:pt>
                <c:pt idx="8">
                  <c:v>1.8973336890507054E-2</c:v>
                </c:pt>
                <c:pt idx="9">
                  <c:v>2.0207885417157085E-2</c:v>
                </c:pt>
                <c:pt idx="10">
                  <c:v>2.1269806395589102E-2</c:v>
                </c:pt>
                <c:pt idx="11">
                  <c:v>2.2420656717042523E-2</c:v>
                </c:pt>
                <c:pt idx="12">
                  <c:v>2.3916762134931966E-2</c:v>
                </c:pt>
                <c:pt idx="13">
                  <c:v>2.5799971751855746E-2</c:v>
                </c:pt>
                <c:pt idx="14">
                  <c:v>2.8211526289083137E-2</c:v>
                </c:pt>
                <c:pt idx="15">
                  <c:v>3.1109576644015837E-2</c:v>
                </c:pt>
                <c:pt idx="16">
                  <c:v>3.6026846199316814E-2</c:v>
                </c:pt>
                <c:pt idx="17">
                  <c:v>4.3109806814080123E-2</c:v>
                </c:pt>
                <c:pt idx="18">
                  <c:v>5.6292274132546567E-2</c:v>
                </c:pt>
                <c:pt idx="19">
                  <c:v>8.7752337010823217E-2</c:v>
                </c:pt>
                <c:pt idx="20">
                  <c:v>0.22371484021489516</c:v>
                </c:pt>
              </c:numCache>
            </c:numRef>
          </c:xVal>
          <c:yVal>
            <c:numRef>
              <c:f>'Run 1 (Alex)'!$G$44:$G$64</c:f>
              <c:numCache>
                <c:formatCode>General</c:formatCode>
                <c:ptCount val="21"/>
                <c:pt idx="0">
                  <c:v>7.6E-3</c:v>
                </c:pt>
                <c:pt idx="1">
                  <c:v>1.21E-2</c:v>
                </c:pt>
                <c:pt idx="2">
                  <c:v>1.18E-2</c:v>
                </c:pt>
                <c:pt idx="3">
                  <c:v>1.9599999999999999E-2</c:v>
                </c:pt>
                <c:pt idx="4">
                  <c:v>6.7999999999999996E-3</c:v>
                </c:pt>
                <c:pt idx="5">
                  <c:v>1.9E-2</c:v>
                </c:pt>
                <c:pt idx="6">
                  <c:v>1.4200000000000001E-2</c:v>
                </c:pt>
                <c:pt idx="7">
                  <c:v>6.4000000000000003E-3</c:v>
                </c:pt>
                <c:pt idx="8">
                  <c:v>1.15E-2</c:v>
                </c:pt>
                <c:pt idx="9">
                  <c:v>7.7999999999999996E-3</c:v>
                </c:pt>
                <c:pt idx="10">
                  <c:v>1.5800000000000002E-2</c:v>
                </c:pt>
                <c:pt idx="11">
                  <c:v>0.02</c:v>
                </c:pt>
                <c:pt idx="12">
                  <c:v>2.23E-2</c:v>
                </c:pt>
                <c:pt idx="13">
                  <c:v>1E-3</c:v>
                </c:pt>
                <c:pt idx="14">
                  <c:v>1.4200000000000001E-2</c:v>
                </c:pt>
                <c:pt idx="15">
                  <c:v>7.4000000000000003E-3</c:v>
                </c:pt>
                <c:pt idx="16">
                  <c:v>1.2500000000000001E-2</c:v>
                </c:pt>
                <c:pt idx="17">
                  <c:v>3.0999999999999999E-3</c:v>
                </c:pt>
                <c:pt idx="18">
                  <c:v>8.0000000000000002E-3</c:v>
                </c:pt>
                <c:pt idx="19">
                  <c:v>1.5800000000000002E-2</c:v>
                </c:pt>
                <c:pt idx="2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975-434F-A289-C7C240FB186B}"/>
            </c:ext>
          </c:extLst>
        </c:ser>
        <c:ser>
          <c:idx val="15"/>
          <c:order val="3"/>
          <c:tx>
            <c:strRef>
              <c:f>'Run 1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(Alex)'!$I$65:$I$85</c:f>
              <c:numCache>
                <c:formatCode>General</c:formatCode>
                <c:ptCount val="21"/>
                <c:pt idx="0">
                  <c:v>5.3304701841853912E-3</c:v>
                </c:pt>
                <c:pt idx="1">
                  <c:v>5.3128577525182394E-3</c:v>
                </c:pt>
                <c:pt idx="2">
                  <c:v>5.614978695731695E-3</c:v>
                </c:pt>
                <c:pt idx="3">
                  <c:v>5.8100702465063029E-3</c:v>
                </c:pt>
                <c:pt idx="4">
                  <c:v>6.3384431965208673E-3</c:v>
                </c:pt>
                <c:pt idx="5">
                  <c:v>6.7936568149949538E-3</c:v>
                </c:pt>
                <c:pt idx="6">
                  <c:v>7.2536122419948118E-3</c:v>
                </c:pt>
                <c:pt idx="7">
                  <c:v>7.8246614687413219E-3</c:v>
                </c:pt>
                <c:pt idx="8">
                  <c:v>8.2344892056115931E-3</c:v>
                </c:pt>
                <c:pt idx="9">
                  <c:v>8.8041836299221667E-3</c:v>
                </c:pt>
                <c:pt idx="10">
                  <c:v>9.2492362301267415E-3</c:v>
                </c:pt>
                <c:pt idx="11">
                  <c:v>9.7444165204609041E-3</c:v>
                </c:pt>
                <c:pt idx="12">
                  <c:v>1.0412334121376751E-2</c:v>
                </c:pt>
                <c:pt idx="13">
                  <c:v>1.1223183379283717E-2</c:v>
                </c:pt>
                <c:pt idx="14">
                  <c:v>1.2224382379439519E-2</c:v>
                </c:pt>
                <c:pt idx="15">
                  <c:v>1.3522960514283006E-2</c:v>
                </c:pt>
                <c:pt idx="16">
                  <c:v>1.5603937055878828E-2</c:v>
                </c:pt>
                <c:pt idx="17">
                  <c:v>1.8578405803973637E-2</c:v>
                </c:pt>
                <c:pt idx="18">
                  <c:v>2.3902779377197321E-2</c:v>
                </c:pt>
                <c:pt idx="19">
                  <c:v>3.6709049402870828E-2</c:v>
                </c:pt>
                <c:pt idx="20">
                  <c:v>8.8154962302622222E-2</c:v>
                </c:pt>
              </c:numCache>
            </c:numRef>
          </c:xVal>
          <c:yVal>
            <c:numRef>
              <c:f>'Run 1 (Alex)'!$G$65:$G$85</c:f>
              <c:numCache>
                <c:formatCode>General</c:formatCode>
                <c:ptCount val="21"/>
                <c:pt idx="0">
                  <c:v>4.1000000000000002E-2</c:v>
                </c:pt>
                <c:pt idx="1">
                  <c:v>4.4900000000000002E-2</c:v>
                </c:pt>
                <c:pt idx="2">
                  <c:v>3.5700000000000003E-2</c:v>
                </c:pt>
                <c:pt idx="3">
                  <c:v>3.6900000000000002E-2</c:v>
                </c:pt>
                <c:pt idx="4">
                  <c:v>4.6699999999999998E-2</c:v>
                </c:pt>
                <c:pt idx="5">
                  <c:v>4.4299999999999999E-2</c:v>
                </c:pt>
                <c:pt idx="6">
                  <c:v>4.1200000000000001E-2</c:v>
                </c:pt>
                <c:pt idx="7">
                  <c:v>3.2199999999999999E-2</c:v>
                </c:pt>
                <c:pt idx="8">
                  <c:v>3.7699999999999997E-2</c:v>
                </c:pt>
                <c:pt idx="9">
                  <c:v>4.7500000000000001E-2</c:v>
                </c:pt>
                <c:pt idx="10">
                  <c:v>5.0599999999999999E-2</c:v>
                </c:pt>
                <c:pt idx="11">
                  <c:v>4.41E-2</c:v>
                </c:pt>
                <c:pt idx="12">
                  <c:v>4.7399999999999998E-2</c:v>
                </c:pt>
                <c:pt idx="13">
                  <c:v>4.41E-2</c:v>
                </c:pt>
                <c:pt idx="14">
                  <c:v>5.1200000000000002E-2</c:v>
                </c:pt>
                <c:pt idx="15">
                  <c:v>4.4200000000000003E-2</c:v>
                </c:pt>
                <c:pt idx="16">
                  <c:v>4.41E-2</c:v>
                </c:pt>
                <c:pt idx="17">
                  <c:v>4.4299999999999999E-2</c:v>
                </c:pt>
                <c:pt idx="18">
                  <c:v>4.53E-2</c:v>
                </c:pt>
                <c:pt idx="19">
                  <c:v>4.6300000000000001E-2</c:v>
                </c:pt>
                <c:pt idx="20">
                  <c:v>5.1499999999999997E-2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975-434F-A289-C7C240FB186B}"/>
            </c:ext>
          </c:extLst>
        </c:ser>
        <c:ser>
          <c:idx val="16"/>
          <c:order val="4"/>
          <c:tx>
            <c:strRef>
              <c:f>'Run 1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(Alex)'!$I$86:$I$105</c:f>
              <c:numCache>
                <c:formatCode>General</c:formatCode>
                <c:ptCount val="20"/>
                <c:pt idx="0">
                  <c:v>5.276278086748E-3</c:v>
                </c:pt>
                <c:pt idx="1">
                  <c:v>5.2823746977097071E-3</c:v>
                </c:pt>
                <c:pt idx="2">
                  <c:v>5.3616306402118914E-3</c:v>
                </c:pt>
                <c:pt idx="3">
                  <c:v>5.3670498499556307E-3</c:v>
                </c:pt>
                <c:pt idx="4">
                  <c:v>5.5750120238716189E-3</c:v>
                </c:pt>
                <c:pt idx="5">
                  <c:v>5.526239136177967E-3</c:v>
                </c:pt>
                <c:pt idx="6">
                  <c:v>5.6244623127832388E-3</c:v>
                </c:pt>
                <c:pt idx="7">
                  <c:v>5.7951674197110207E-3</c:v>
                </c:pt>
                <c:pt idx="8">
                  <c:v>5.7328465076580204E-3</c:v>
                </c:pt>
                <c:pt idx="9">
                  <c:v>5.8879713865725531E-3</c:v>
                </c:pt>
                <c:pt idx="10">
                  <c:v>5.9353894718302712E-3</c:v>
                </c:pt>
                <c:pt idx="11">
                  <c:v>5.9956781802293687E-3</c:v>
                </c:pt>
                <c:pt idx="12">
                  <c:v>6.1914471322219444E-3</c:v>
                </c:pt>
                <c:pt idx="13">
                  <c:v>6.2767996856858349E-3</c:v>
                </c:pt>
                <c:pt idx="14">
                  <c:v>6.4407307804339436E-3</c:v>
                </c:pt>
                <c:pt idx="15">
                  <c:v>6.8024630308285297E-3</c:v>
                </c:pt>
                <c:pt idx="16">
                  <c:v>7.2854500992392789E-3</c:v>
                </c:pt>
                <c:pt idx="17">
                  <c:v>7.9316908611801688E-3</c:v>
                </c:pt>
                <c:pt idx="18">
                  <c:v>9.1191751962770035E-3</c:v>
                </c:pt>
                <c:pt idx="19">
                  <c:v>1.2938363263177148E-2</c:v>
                </c:pt>
              </c:numCache>
            </c:numRef>
          </c:xVal>
          <c:yVal>
            <c:numRef>
              <c:f>'Run 1 (Alex)'!$G$86:$G$106</c:f>
              <c:numCache>
                <c:formatCode>General</c:formatCode>
                <c:ptCount val="21"/>
                <c:pt idx="0">
                  <c:v>4.3400000000000001E-2</c:v>
                </c:pt>
                <c:pt idx="1">
                  <c:v>4.3999999999999997E-2</c:v>
                </c:pt>
                <c:pt idx="2">
                  <c:v>5.4800000000000001E-2</c:v>
                </c:pt>
                <c:pt idx="3">
                  <c:v>4.0099999999999997E-2</c:v>
                </c:pt>
                <c:pt idx="4">
                  <c:v>5.7700000000000001E-2</c:v>
                </c:pt>
                <c:pt idx="5">
                  <c:v>4.36E-2</c:v>
                </c:pt>
                <c:pt idx="6">
                  <c:v>4.2999999999999997E-2</c:v>
                </c:pt>
                <c:pt idx="7">
                  <c:v>4.2000000000000003E-2</c:v>
                </c:pt>
                <c:pt idx="8">
                  <c:v>4.6199999999999998E-2</c:v>
                </c:pt>
                <c:pt idx="9">
                  <c:v>4.2999999999999997E-2</c:v>
                </c:pt>
                <c:pt idx="10">
                  <c:v>4.41E-2</c:v>
                </c:pt>
                <c:pt idx="11">
                  <c:v>4.3999999999999997E-2</c:v>
                </c:pt>
                <c:pt idx="12">
                  <c:v>4.0099999999999997E-2</c:v>
                </c:pt>
                <c:pt idx="13">
                  <c:v>4.4200000000000003E-2</c:v>
                </c:pt>
                <c:pt idx="14">
                  <c:v>4.3299999999999998E-2</c:v>
                </c:pt>
                <c:pt idx="15">
                  <c:v>4.1799999999999997E-2</c:v>
                </c:pt>
                <c:pt idx="16">
                  <c:v>4.0099999999999997E-2</c:v>
                </c:pt>
                <c:pt idx="17">
                  <c:v>4.4200000000000003E-2</c:v>
                </c:pt>
                <c:pt idx="18">
                  <c:v>4.1000000000000002E-2</c:v>
                </c:pt>
                <c:pt idx="19">
                  <c:v>4.24E-2</c:v>
                </c:pt>
                <c:pt idx="20">
                  <c:v>4.7E-2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975-434F-A289-C7C240FB186B}"/>
            </c:ext>
          </c:extLst>
        </c:ser>
        <c:ser>
          <c:idx val="17"/>
          <c:order val="5"/>
          <c:tx>
            <c:strRef>
              <c:f>'Run 1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(Alex)'!$I$107:$I$127</c:f>
              <c:numCache>
                <c:formatCode>General</c:formatCode>
                <c:ptCount val="21"/>
                <c:pt idx="0">
                  <c:v>1.63246854358691E-2</c:v>
                </c:pt>
                <c:pt idx="1">
                  <c:v>1.6374915237210234E-2</c:v>
                </c:pt>
                <c:pt idx="2">
                  <c:v>1.692744305196273E-2</c:v>
                </c:pt>
                <c:pt idx="3">
                  <c:v>1.7329281462691814E-2</c:v>
                </c:pt>
                <c:pt idx="4">
                  <c:v>1.8132958284149986E-2</c:v>
                </c:pt>
                <c:pt idx="5">
                  <c:v>1.8434337092196801E-2</c:v>
                </c:pt>
                <c:pt idx="6">
                  <c:v>1.9037094708290427E-2</c:v>
                </c:pt>
                <c:pt idx="7">
                  <c:v>1.9891001331089734E-2</c:v>
                </c:pt>
                <c:pt idx="8">
                  <c:v>2.041841424517166E-2</c:v>
                </c:pt>
                <c:pt idx="9">
                  <c:v>2.1372780470653236E-2</c:v>
                </c:pt>
                <c:pt idx="10">
                  <c:v>2.2075997689429135E-2</c:v>
                </c:pt>
                <c:pt idx="11">
                  <c:v>2.2904789411557873E-2</c:v>
                </c:pt>
                <c:pt idx="12">
                  <c:v>2.4286108948439109E-2</c:v>
                </c:pt>
                <c:pt idx="13">
                  <c:v>2.5692543385990908E-2</c:v>
                </c:pt>
                <c:pt idx="14">
                  <c:v>2.750081623427179E-2</c:v>
                </c:pt>
                <c:pt idx="15">
                  <c:v>3.0313685109375391E-2</c:v>
                </c:pt>
                <c:pt idx="16">
                  <c:v>3.5060401336112719E-2</c:v>
                </c:pt>
                <c:pt idx="17">
                  <c:v>4.2218148027224546E-2</c:v>
                </c:pt>
                <c:pt idx="18">
                  <c:v>5.5654619885978349E-2</c:v>
                </c:pt>
                <c:pt idx="19">
                  <c:v>8.8655599367104487E-2</c:v>
                </c:pt>
                <c:pt idx="20">
                  <c:v>0.21985584047015094</c:v>
                </c:pt>
              </c:numCache>
            </c:numRef>
          </c:xVal>
          <c:yVal>
            <c:numRef>
              <c:f>'Run 1 (Alex)'!$G$107:$G$127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1.5699999999999999E-2</c:v>
                </c:pt>
                <c:pt idx="11">
                  <c:v>4.0000000000000001E-3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975-434F-A289-C7C240FB186B}"/>
            </c:ext>
          </c:extLst>
        </c:ser>
        <c:ser>
          <c:idx val="18"/>
          <c:order val="6"/>
          <c:tx>
            <c:strRef>
              <c:f>'Run 1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(Alex)'!$I$128:$I$148</c:f>
              <c:numCache>
                <c:formatCode>General</c:formatCode>
                <c:ptCount val="21"/>
                <c:pt idx="0">
                  <c:v>0.11710581346716854</c:v>
                </c:pt>
                <c:pt idx="1">
                  <c:v>0.11877875365955666</c:v>
                </c:pt>
                <c:pt idx="2">
                  <c:v>0.13101212881639482</c:v>
                </c:pt>
                <c:pt idx="3">
                  <c:v>0.14188624006691761</c:v>
                </c:pt>
                <c:pt idx="4">
                  <c:v>0.15432873274780426</c:v>
                </c:pt>
                <c:pt idx="5">
                  <c:v>0.16520284399832708</c:v>
                </c:pt>
                <c:pt idx="6">
                  <c:v>0.17680886658301967</c:v>
                </c:pt>
                <c:pt idx="7">
                  <c:v>0.18716018402342113</c:v>
                </c:pt>
                <c:pt idx="8">
                  <c:v>0.19583856127143454</c:v>
                </c:pt>
                <c:pt idx="9">
                  <c:v>0.21005855290673359</c:v>
                </c:pt>
                <c:pt idx="10">
                  <c:v>0.21999163529903806</c:v>
                </c:pt>
                <c:pt idx="11">
                  <c:v>0.23128398159765789</c:v>
                </c:pt>
                <c:pt idx="12">
                  <c:v>0.24884985361773318</c:v>
                </c:pt>
                <c:pt idx="13">
                  <c:v>0.26923881221246343</c:v>
                </c:pt>
                <c:pt idx="14">
                  <c:v>0.28795483061480553</c:v>
                </c:pt>
                <c:pt idx="15">
                  <c:v>0.31346716854872436</c:v>
                </c:pt>
                <c:pt idx="16">
                  <c:v>0.35738184859891259</c:v>
                </c:pt>
                <c:pt idx="17">
                  <c:v>0.40600167294019235</c:v>
                </c:pt>
                <c:pt idx="18">
                  <c:v>0.48588456712672523</c:v>
                </c:pt>
                <c:pt idx="19">
                  <c:v>0.68914680050188204</c:v>
                </c:pt>
                <c:pt idx="20">
                  <c:v>1.693642827268925</c:v>
                </c:pt>
              </c:numCache>
            </c:numRef>
          </c:xVal>
          <c:yVal>
            <c:numRef>
              <c:f>'Run 1 (Alex)'!$G$128:$G$148</c:f>
              <c:numCache>
                <c:formatCode>General</c:formatCode>
                <c:ptCount val="21"/>
                <c:pt idx="0">
                  <c:v>6.0000000000000001E-3</c:v>
                </c:pt>
                <c:pt idx="1">
                  <c:v>6.0000000000000001E-3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5.3E-3</c:v>
                </c:pt>
                <c:pt idx="5">
                  <c:v>6.0000000000000001E-3</c:v>
                </c:pt>
                <c:pt idx="6">
                  <c:v>5.4999999999999997E-3</c:v>
                </c:pt>
                <c:pt idx="7">
                  <c:v>6.8999999999999999E-3</c:v>
                </c:pt>
                <c:pt idx="8">
                  <c:v>6.0000000000000001E-3</c:v>
                </c:pt>
                <c:pt idx="9">
                  <c:v>6.1000000000000004E-3</c:v>
                </c:pt>
                <c:pt idx="10">
                  <c:v>6.0000000000000001E-3</c:v>
                </c:pt>
                <c:pt idx="11">
                  <c:v>7.0000000000000001E-3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6.8999999999999999E-3</c:v>
                </c:pt>
                <c:pt idx="19">
                  <c:v>5.7999999999999996E-3</c:v>
                </c:pt>
                <c:pt idx="20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975-434F-A289-C7C240FB186B}"/>
            </c:ext>
          </c:extLst>
        </c:ser>
        <c:ser>
          <c:idx val="19"/>
          <c:order val="7"/>
          <c:tx>
            <c:strRef>
              <c:f>'Run 1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(Alex)'!$I$149:$I$169</c:f>
              <c:numCache>
                <c:formatCode>General</c:formatCode>
                <c:ptCount val="21"/>
                <c:pt idx="0">
                  <c:v>1.3000868511628405E-2</c:v>
                </c:pt>
                <c:pt idx="1">
                  <c:v>1.3226038193066919E-2</c:v>
                </c:pt>
                <c:pt idx="2">
                  <c:v>1.4925533169638549E-2</c:v>
                </c:pt>
                <c:pt idx="3">
                  <c:v>1.6866281376322872E-2</c:v>
                </c:pt>
                <c:pt idx="4">
                  <c:v>1.8941059155292022E-2</c:v>
                </c:pt>
                <c:pt idx="5">
                  <c:v>2.0989031019804209E-2</c:v>
                </c:pt>
                <c:pt idx="6">
                  <c:v>2.2929779226488534E-2</c:v>
                </c:pt>
                <c:pt idx="7">
                  <c:v>2.4913416896304E-2</c:v>
                </c:pt>
                <c:pt idx="8">
                  <c:v>2.6591467141310058E-2</c:v>
                </c:pt>
                <c:pt idx="9">
                  <c:v>2.8591188359799704E-2</c:v>
                </c:pt>
                <c:pt idx="10">
                  <c:v>3.0333572799502481E-2</c:v>
                </c:pt>
                <c:pt idx="11">
                  <c:v>3.2113485519445012E-2</c:v>
                </c:pt>
                <c:pt idx="12">
                  <c:v>3.4488489540332179E-2</c:v>
                </c:pt>
                <c:pt idx="13">
                  <c:v>3.7587253251557422E-2</c:v>
                </c:pt>
                <c:pt idx="14">
                  <c:v>4.137224837288099E-2</c:v>
                </c:pt>
                <c:pt idx="15">
                  <c:v>4.5929253830565175E-2</c:v>
                </c:pt>
                <c:pt idx="16">
                  <c:v>5.3274074391773805E-2</c:v>
                </c:pt>
                <c:pt idx="17">
                  <c:v>6.363724092083678E-2</c:v>
                </c:pt>
                <c:pt idx="18">
                  <c:v>8.3060806536354184E-2</c:v>
                </c:pt>
                <c:pt idx="19">
                  <c:v>0.12907583929318164</c:v>
                </c:pt>
                <c:pt idx="20">
                  <c:v>0.31586481241221059</c:v>
                </c:pt>
              </c:numCache>
            </c:numRef>
          </c:xVal>
          <c:yVal>
            <c:numRef>
              <c:f>'Run 1 (Alex)'!$G$149:$G$169</c:f>
              <c:numCache>
                <c:formatCode>General</c:formatCode>
                <c:ptCount val="21"/>
                <c:pt idx="0">
                  <c:v>2.0199999999999999E-2</c:v>
                </c:pt>
                <c:pt idx="1">
                  <c:v>2.0500000000000001E-2</c:v>
                </c:pt>
                <c:pt idx="2">
                  <c:v>1.24E-2</c:v>
                </c:pt>
                <c:pt idx="3">
                  <c:v>2.1000000000000001E-2</c:v>
                </c:pt>
                <c:pt idx="4">
                  <c:v>1.7000000000000001E-2</c:v>
                </c:pt>
                <c:pt idx="5">
                  <c:v>1.2200000000000001E-2</c:v>
                </c:pt>
                <c:pt idx="6">
                  <c:v>1.9800000000000002E-2</c:v>
                </c:pt>
                <c:pt idx="7">
                  <c:v>1.8599999999999998E-2</c:v>
                </c:pt>
                <c:pt idx="8">
                  <c:v>1.5800000000000002E-2</c:v>
                </c:pt>
                <c:pt idx="9">
                  <c:v>1.3899999999999999E-2</c:v>
                </c:pt>
                <c:pt idx="10">
                  <c:v>1.4E-2</c:v>
                </c:pt>
                <c:pt idx="11">
                  <c:v>2.53E-2</c:v>
                </c:pt>
                <c:pt idx="12">
                  <c:v>1.4E-2</c:v>
                </c:pt>
                <c:pt idx="13">
                  <c:v>2.53E-2</c:v>
                </c:pt>
                <c:pt idx="14">
                  <c:v>1.4E-2</c:v>
                </c:pt>
                <c:pt idx="15">
                  <c:v>1.6E-2</c:v>
                </c:pt>
                <c:pt idx="16">
                  <c:v>1.35E-2</c:v>
                </c:pt>
                <c:pt idx="17">
                  <c:v>1.46E-2</c:v>
                </c:pt>
                <c:pt idx="18">
                  <c:v>1.5100000000000001E-2</c:v>
                </c:pt>
                <c:pt idx="19">
                  <c:v>1.6E-2</c:v>
                </c:pt>
                <c:pt idx="2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975-434F-A289-C7C240FB186B}"/>
            </c:ext>
          </c:extLst>
        </c:ser>
        <c:ser>
          <c:idx val="20"/>
          <c:order val="8"/>
          <c:tx>
            <c:strRef>
              <c:f>'Run 1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(Alex)'!$I$170:$I$190</c:f>
              <c:numCache>
                <c:formatCode>General</c:formatCode>
                <c:ptCount val="21"/>
                <c:pt idx="0">
                  <c:v>1.1401367415845935E-2</c:v>
                </c:pt>
                <c:pt idx="1">
                  <c:v>1.1485544861902222E-2</c:v>
                </c:pt>
                <c:pt idx="2">
                  <c:v>1.2462938541111327E-2</c:v>
                </c:pt>
                <c:pt idx="3">
                  <c:v>1.3725600231955629E-2</c:v>
                </c:pt>
                <c:pt idx="4">
                  <c:v>1.5142587240569789E-2</c:v>
                </c:pt>
                <c:pt idx="5">
                  <c:v>1.6461367228784947E-2</c:v>
                </c:pt>
                <c:pt idx="6">
                  <c:v>1.781755941524734E-2</c:v>
                </c:pt>
                <c:pt idx="7">
                  <c:v>1.9454343088564027E-2</c:v>
                </c:pt>
                <c:pt idx="8">
                  <c:v>2.0399001094306795E-2</c:v>
                </c:pt>
                <c:pt idx="9">
                  <c:v>2.1820664627701859E-2</c:v>
                </c:pt>
                <c:pt idx="10">
                  <c:v>2.2961736674242637E-2</c:v>
                </c:pt>
                <c:pt idx="11">
                  <c:v>2.4257134038553268E-2</c:v>
                </c:pt>
                <c:pt idx="12">
                  <c:v>2.5931329910117193E-2</c:v>
                </c:pt>
                <c:pt idx="13">
                  <c:v>2.7895470318097214E-2</c:v>
                </c:pt>
                <c:pt idx="14">
                  <c:v>3.0551736393651146E-2</c:v>
                </c:pt>
                <c:pt idx="15">
                  <c:v>3.3797244591599086E-2</c:v>
                </c:pt>
                <c:pt idx="16">
                  <c:v>3.9240719436572293E-2</c:v>
                </c:pt>
                <c:pt idx="17">
                  <c:v>4.6956985325065231E-2</c:v>
                </c:pt>
                <c:pt idx="18">
                  <c:v>6.1809628029218917E-2</c:v>
                </c:pt>
                <c:pt idx="19">
                  <c:v>9.7585042603140743E-2</c:v>
                </c:pt>
                <c:pt idx="20">
                  <c:v>0.23935856786105109</c:v>
                </c:pt>
              </c:numCache>
            </c:numRef>
          </c:xVal>
          <c:yVal>
            <c:numRef>
              <c:f>'Run 1 (Alex)'!$G$170:$G$190</c:f>
              <c:numCache>
                <c:formatCode>General</c:formatCode>
                <c:ptCount val="21"/>
                <c:pt idx="0">
                  <c:v>1.8499999999999999E-2</c:v>
                </c:pt>
                <c:pt idx="1">
                  <c:v>2.3800000000000002E-2</c:v>
                </c:pt>
                <c:pt idx="2">
                  <c:v>1.4E-2</c:v>
                </c:pt>
                <c:pt idx="3">
                  <c:v>2.2700000000000001E-2</c:v>
                </c:pt>
                <c:pt idx="4">
                  <c:v>1.9300000000000001E-2</c:v>
                </c:pt>
                <c:pt idx="5">
                  <c:v>1.38E-2</c:v>
                </c:pt>
                <c:pt idx="6">
                  <c:v>1.4E-2</c:v>
                </c:pt>
                <c:pt idx="7">
                  <c:v>1.4E-2</c:v>
                </c:pt>
                <c:pt idx="8">
                  <c:v>1.4E-2</c:v>
                </c:pt>
                <c:pt idx="9">
                  <c:v>2.87E-2</c:v>
                </c:pt>
                <c:pt idx="10">
                  <c:v>1.2999999999999999E-2</c:v>
                </c:pt>
                <c:pt idx="11">
                  <c:v>2.4899999999999999E-2</c:v>
                </c:pt>
                <c:pt idx="12">
                  <c:v>2.5600000000000001E-2</c:v>
                </c:pt>
                <c:pt idx="13">
                  <c:v>2.9600000000000001E-2</c:v>
                </c:pt>
                <c:pt idx="14">
                  <c:v>1.2999999999999999E-2</c:v>
                </c:pt>
                <c:pt idx="15">
                  <c:v>1.4999999999999999E-2</c:v>
                </c:pt>
                <c:pt idx="16">
                  <c:v>1.55E-2</c:v>
                </c:pt>
                <c:pt idx="17">
                  <c:v>1.4E-2</c:v>
                </c:pt>
                <c:pt idx="18">
                  <c:v>1.41E-2</c:v>
                </c:pt>
                <c:pt idx="19">
                  <c:v>1.5100000000000001E-2</c:v>
                </c:pt>
                <c:pt idx="20">
                  <c:v>1.7600000000000001E-2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975-434F-A289-C7C240FB186B}"/>
            </c:ext>
          </c:extLst>
        </c:ser>
        <c:ser>
          <c:idx val="21"/>
          <c:order val="9"/>
          <c:tx>
            <c:strRef>
              <c:f>'Run 1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(Alex)'!$I$254:$I$273</c:f>
              <c:numCache>
                <c:formatCode>General</c:formatCode>
                <c:ptCount val="20"/>
                <c:pt idx="0">
                  <c:v>8.9992678943515245E-2</c:v>
                </c:pt>
                <c:pt idx="1">
                  <c:v>9.3230838542546601E-2</c:v>
                </c:pt>
                <c:pt idx="2">
                  <c:v>0.10122768485667626</c:v>
                </c:pt>
                <c:pt idx="3">
                  <c:v>0.10826716224587488</c:v>
                </c:pt>
                <c:pt idx="4">
                  <c:v>0.11702427211803797</c:v>
                </c:pt>
                <c:pt idx="5">
                  <c:v>0.12459874978881569</c:v>
                </c:pt>
                <c:pt idx="6">
                  <c:v>0.13203243791180944</c:v>
                </c:pt>
                <c:pt idx="7">
                  <c:v>0.14200033789491467</c:v>
                </c:pt>
                <c:pt idx="8">
                  <c:v>0.14932139437968125</c:v>
                </c:pt>
                <c:pt idx="9">
                  <c:v>0.15844455707608268</c:v>
                </c:pt>
                <c:pt idx="10">
                  <c:v>0.16708903531001859</c:v>
                </c:pt>
                <c:pt idx="11">
                  <c:v>0.17426930224700118</c:v>
                </c:pt>
                <c:pt idx="12">
                  <c:v>0.18527904488370783</c:v>
                </c:pt>
                <c:pt idx="13">
                  <c:v>0.19904826265698033</c:v>
                </c:pt>
                <c:pt idx="14">
                  <c:v>0.2156332713859323</c:v>
                </c:pt>
                <c:pt idx="15">
                  <c:v>0.23610407163372191</c:v>
                </c:pt>
                <c:pt idx="16">
                  <c:v>0.26389592836627812</c:v>
                </c:pt>
                <c:pt idx="17">
                  <c:v>0.30340147547446078</c:v>
                </c:pt>
                <c:pt idx="18">
                  <c:v>0.37861125190065892</c:v>
                </c:pt>
                <c:pt idx="19">
                  <c:v>0.56698766683561419</c:v>
                </c:pt>
              </c:numCache>
            </c:numRef>
          </c:xVal>
          <c:yVal>
            <c:numRef>
              <c:f>'Run 1 (Alex)'!$G$254:$G$273</c:f>
              <c:numCache>
                <c:formatCode>General</c:formatCode>
                <c:ptCount val="20"/>
                <c:pt idx="0">
                  <c:v>3.1699999999999999E-2</c:v>
                </c:pt>
                <c:pt idx="1">
                  <c:v>2.6800000000000001E-2</c:v>
                </c:pt>
                <c:pt idx="2">
                  <c:v>2.87E-2</c:v>
                </c:pt>
                <c:pt idx="3">
                  <c:v>1.7000000000000001E-2</c:v>
                </c:pt>
                <c:pt idx="4">
                  <c:v>2.2800000000000001E-2</c:v>
                </c:pt>
                <c:pt idx="5">
                  <c:v>1.7000000000000001E-2</c:v>
                </c:pt>
                <c:pt idx="6">
                  <c:v>2.5499999999999998E-2</c:v>
                </c:pt>
                <c:pt idx="7">
                  <c:v>1.7899999999999999E-2</c:v>
                </c:pt>
                <c:pt idx="8">
                  <c:v>1.6E-2</c:v>
                </c:pt>
                <c:pt idx="9">
                  <c:v>3.1699999999999999E-2</c:v>
                </c:pt>
                <c:pt idx="10">
                  <c:v>1.7000000000000001E-2</c:v>
                </c:pt>
                <c:pt idx="11">
                  <c:v>2.46E-2</c:v>
                </c:pt>
                <c:pt idx="12">
                  <c:v>1.77E-2</c:v>
                </c:pt>
                <c:pt idx="13">
                  <c:v>3.1600000000000003E-2</c:v>
                </c:pt>
                <c:pt idx="14">
                  <c:v>1.9E-2</c:v>
                </c:pt>
                <c:pt idx="15">
                  <c:v>3.0599999999999999E-2</c:v>
                </c:pt>
                <c:pt idx="16">
                  <c:v>1.7000000000000001E-2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1.8100000000000002E-2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975-434F-A289-C7C240FB186B}"/>
            </c:ext>
          </c:extLst>
        </c:ser>
        <c:ser>
          <c:idx val="22"/>
          <c:order val="10"/>
          <c:tx>
            <c:strRef>
              <c:f>'Run 1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(Alex)'!$I$212:$I$232</c:f>
              <c:numCache>
                <c:formatCode>General</c:formatCode>
                <c:ptCount val="21"/>
                <c:pt idx="0">
                  <c:v>4.2725671788055052E-2</c:v>
                </c:pt>
                <c:pt idx="1">
                  <c:v>4.3244764201058564E-2</c:v>
                </c:pt>
                <c:pt idx="2">
                  <c:v>4.6999694366149349E-2</c:v>
                </c:pt>
                <c:pt idx="3">
                  <c:v>5.2117848531744691E-2</c:v>
                </c:pt>
                <c:pt idx="4">
                  <c:v>5.8031620975214554E-2</c:v>
                </c:pt>
                <c:pt idx="5">
                  <c:v>6.4537255796127665E-2</c:v>
                </c:pt>
                <c:pt idx="6">
                  <c:v>7.1125363243405834E-2</c:v>
                </c:pt>
                <c:pt idx="7">
                  <c:v>7.776198400031048E-2</c:v>
                </c:pt>
                <c:pt idx="8">
                  <c:v>8.3636945796079165E-2</c:v>
                </c:pt>
                <c:pt idx="9">
                  <c:v>9.0748996987323471E-2</c:v>
                </c:pt>
                <c:pt idx="10">
                  <c:v>9.6992659936253514E-2</c:v>
                </c:pt>
                <c:pt idx="11">
                  <c:v>0.10372145598144852</c:v>
                </c:pt>
                <c:pt idx="12">
                  <c:v>0.11202208325854199</c:v>
                </c:pt>
                <c:pt idx="13">
                  <c:v>0.12322865778226257</c:v>
                </c:pt>
                <c:pt idx="14">
                  <c:v>0.13704524836388865</c:v>
                </c:pt>
                <c:pt idx="15">
                  <c:v>0.15385511014946951</c:v>
                </c:pt>
                <c:pt idx="16">
                  <c:v>0.18167264188930235</c:v>
                </c:pt>
                <c:pt idx="17">
                  <c:v>0.22122069189682189</c:v>
                </c:pt>
                <c:pt idx="18">
                  <c:v>0.29363165784532985</c:v>
                </c:pt>
                <c:pt idx="19">
                  <c:v>0.47522667843922983</c:v>
                </c:pt>
                <c:pt idx="20">
                  <c:v>1.1843457252497225</c:v>
                </c:pt>
              </c:numCache>
            </c:numRef>
          </c:xVal>
          <c:yVal>
            <c:numRef>
              <c:f>'Run 1 (Alex)'!$G$212:$G$232</c:f>
              <c:numCache>
                <c:formatCode>General</c:formatCode>
                <c:ptCount val="21"/>
                <c:pt idx="0">
                  <c:v>4.6800000000000001E-2</c:v>
                </c:pt>
                <c:pt idx="1">
                  <c:v>4.7399999999999998E-2</c:v>
                </c:pt>
                <c:pt idx="2">
                  <c:v>4.3999999999999997E-2</c:v>
                </c:pt>
                <c:pt idx="3">
                  <c:v>4.8099999999999997E-2</c:v>
                </c:pt>
                <c:pt idx="4">
                  <c:v>4.7100000000000003E-2</c:v>
                </c:pt>
                <c:pt idx="5">
                  <c:v>4.7199999999999999E-2</c:v>
                </c:pt>
                <c:pt idx="6">
                  <c:v>4.7199999999999999E-2</c:v>
                </c:pt>
                <c:pt idx="7">
                  <c:v>4.82E-2</c:v>
                </c:pt>
                <c:pt idx="8">
                  <c:v>4.7199999999999999E-2</c:v>
                </c:pt>
                <c:pt idx="9">
                  <c:v>4.82E-2</c:v>
                </c:pt>
                <c:pt idx="10">
                  <c:v>4.5699999999999998E-2</c:v>
                </c:pt>
                <c:pt idx="11">
                  <c:v>4.9399999999999999E-2</c:v>
                </c:pt>
                <c:pt idx="12">
                  <c:v>4.7300000000000002E-2</c:v>
                </c:pt>
                <c:pt idx="13">
                  <c:v>4.9000000000000002E-2</c:v>
                </c:pt>
                <c:pt idx="14">
                  <c:v>4.7199999999999999E-2</c:v>
                </c:pt>
                <c:pt idx="15">
                  <c:v>4.82E-2</c:v>
                </c:pt>
                <c:pt idx="16">
                  <c:v>4.8099999999999997E-2</c:v>
                </c:pt>
                <c:pt idx="17">
                  <c:v>5.0299999999999997E-2</c:v>
                </c:pt>
                <c:pt idx="18">
                  <c:v>6.6000000000000003E-2</c:v>
                </c:pt>
                <c:pt idx="19">
                  <c:v>6.3399999999999998E-2</c:v>
                </c:pt>
                <c:pt idx="20">
                  <c:v>6.2E-2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975-434F-A289-C7C240FB186B}"/>
            </c:ext>
          </c:extLst>
        </c:ser>
        <c:ser>
          <c:idx val="23"/>
          <c:order val="11"/>
          <c:tx>
            <c:strRef>
              <c:f>'Run 1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(Alex)'!$I$233:$I$253</c:f>
              <c:numCache>
                <c:formatCode>General</c:formatCode>
                <c:ptCount val="21"/>
                <c:pt idx="0">
                  <c:v>3.9561009332872453E-2</c:v>
                </c:pt>
                <c:pt idx="1">
                  <c:v>3.9751123401313516E-2</c:v>
                </c:pt>
                <c:pt idx="2">
                  <c:v>4.2205323193916351E-2</c:v>
                </c:pt>
                <c:pt idx="3">
                  <c:v>4.3311441410300723E-2</c:v>
                </c:pt>
                <c:pt idx="4">
                  <c:v>4.4849637054960242E-2</c:v>
                </c:pt>
                <c:pt idx="5">
                  <c:v>4.7096439681991009E-2</c:v>
                </c:pt>
                <c:pt idx="6">
                  <c:v>4.8945731075008637E-2</c:v>
                </c:pt>
                <c:pt idx="7">
                  <c:v>5.0483926719668164E-2</c:v>
                </c:pt>
                <c:pt idx="8">
                  <c:v>5.2402350501209817E-2</c:v>
                </c:pt>
                <c:pt idx="9">
                  <c:v>5.4113377117179395E-2</c:v>
                </c:pt>
                <c:pt idx="10">
                  <c:v>5.6360179744210162E-2</c:v>
                </c:pt>
                <c:pt idx="11">
                  <c:v>5.8710680954026956E-2</c:v>
                </c:pt>
                <c:pt idx="12">
                  <c:v>6.1095748358105773E-2</c:v>
                </c:pt>
                <c:pt idx="13">
                  <c:v>6.4794331144141029E-2</c:v>
                </c:pt>
                <c:pt idx="14">
                  <c:v>6.9720013826477703E-2</c:v>
                </c:pt>
                <c:pt idx="15">
                  <c:v>7.5838230210853785E-2</c:v>
                </c:pt>
                <c:pt idx="16">
                  <c:v>8.6795713791911505E-2</c:v>
                </c:pt>
                <c:pt idx="17">
                  <c:v>0.10506394745938472</c:v>
                </c:pt>
                <c:pt idx="18">
                  <c:v>0.14422744555824404</c:v>
                </c:pt>
                <c:pt idx="19">
                  <c:v>0.255945385413066</c:v>
                </c:pt>
                <c:pt idx="20">
                  <c:v>0.86334255098513646</c:v>
                </c:pt>
              </c:numCache>
            </c:numRef>
          </c:xVal>
          <c:yVal>
            <c:numRef>
              <c:f>'Run 1 (Alex)'!$G$233:$G$253</c:f>
              <c:numCache>
                <c:formatCode>General</c:formatCode>
                <c:ptCount val="21"/>
                <c:pt idx="0">
                  <c:v>1.5100000000000001E-2</c:v>
                </c:pt>
                <c:pt idx="1">
                  <c:v>1.7500000000000002E-2</c:v>
                </c:pt>
                <c:pt idx="2">
                  <c:v>2.1399999999999999E-2</c:v>
                </c:pt>
                <c:pt idx="3">
                  <c:v>1.26E-2</c:v>
                </c:pt>
                <c:pt idx="4">
                  <c:v>1.7100000000000001E-2</c:v>
                </c:pt>
                <c:pt idx="5">
                  <c:v>1.2800000000000001E-2</c:v>
                </c:pt>
                <c:pt idx="6">
                  <c:v>1.54E-2</c:v>
                </c:pt>
                <c:pt idx="7">
                  <c:v>1.95E-2</c:v>
                </c:pt>
                <c:pt idx="8">
                  <c:v>2.0199999999999999E-2</c:v>
                </c:pt>
                <c:pt idx="9">
                  <c:v>2.3800000000000002E-2</c:v>
                </c:pt>
                <c:pt idx="10">
                  <c:v>2.01E-2</c:v>
                </c:pt>
                <c:pt idx="11">
                  <c:v>2.06E-2</c:v>
                </c:pt>
                <c:pt idx="12">
                  <c:v>1.2999999999999999E-2</c:v>
                </c:pt>
                <c:pt idx="13">
                  <c:v>2.7199999999999998E-2</c:v>
                </c:pt>
                <c:pt idx="14">
                  <c:v>2.1100000000000001E-2</c:v>
                </c:pt>
                <c:pt idx="15">
                  <c:v>1.9E-2</c:v>
                </c:pt>
                <c:pt idx="16">
                  <c:v>2.47E-2</c:v>
                </c:pt>
                <c:pt idx="17">
                  <c:v>2.4199999999999999E-2</c:v>
                </c:pt>
                <c:pt idx="18">
                  <c:v>2.7199999999999998E-2</c:v>
                </c:pt>
                <c:pt idx="19">
                  <c:v>1.2999999999999999E-2</c:v>
                </c:pt>
                <c:pt idx="2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975-434F-A289-C7C240FB186B}"/>
            </c:ext>
          </c:extLst>
        </c:ser>
        <c:ser>
          <c:idx val="24"/>
          <c:order val="12"/>
          <c:tx>
            <c:strRef>
              <c:f>'Run 1 (Alex)'!$A$274</c:f>
              <c:strCache>
                <c:ptCount val="1"/>
                <c:pt idx="0">
                  <c:v>Tanks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(Alex)'!$I$274:$I$295</c:f>
              <c:numCache>
                <c:formatCode>General</c:formatCode>
                <c:ptCount val="22"/>
                <c:pt idx="0">
                  <c:v>0.207273695786652</c:v>
                </c:pt>
                <c:pt idx="1">
                  <c:v>1.1598735308268609E-2</c:v>
                </c:pt>
                <c:pt idx="2">
                  <c:v>1.1598735308268609E-2</c:v>
                </c:pt>
                <c:pt idx="3">
                  <c:v>1.2088459687951062E-2</c:v>
                </c:pt>
                <c:pt idx="4">
                  <c:v>1.2303251082548629E-2</c:v>
                </c:pt>
                <c:pt idx="5">
                  <c:v>1.2741425527527665E-2</c:v>
                </c:pt>
                <c:pt idx="6">
                  <c:v>1.3411574678672072E-2</c:v>
                </c:pt>
                <c:pt idx="7">
                  <c:v>1.3901299058354525E-2</c:v>
                </c:pt>
                <c:pt idx="8">
                  <c:v>1.4425390061172588E-2</c:v>
                </c:pt>
                <c:pt idx="9">
                  <c:v>1.5043989277613582E-2</c:v>
                </c:pt>
                <c:pt idx="10">
                  <c:v>1.5636813526702865E-2</c:v>
                </c:pt>
                <c:pt idx="11">
                  <c:v>1.6298371022063371E-2</c:v>
                </c:pt>
                <c:pt idx="12">
                  <c:v>1.6968520173207779E-2</c:v>
                </c:pt>
                <c:pt idx="13">
                  <c:v>1.7819094095814142E-2</c:v>
                </c:pt>
                <c:pt idx="14">
                  <c:v>1.9056292528696128E-2</c:v>
                </c:pt>
                <c:pt idx="15">
                  <c:v>2.0723073750773247E-2</c:v>
                </c:pt>
                <c:pt idx="16">
                  <c:v>2.2810846106261599E-2</c:v>
                </c:pt>
                <c:pt idx="17">
                  <c:v>2.6462299814420234E-2</c:v>
                </c:pt>
                <c:pt idx="18">
                  <c:v>3.2330400714825763E-2</c:v>
                </c:pt>
                <c:pt idx="19">
                  <c:v>4.4066602515636807E-2</c:v>
                </c:pt>
                <c:pt idx="20">
                  <c:v>7.4609938827410821E-2</c:v>
                </c:pt>
                <c:pt idx="21">
                  <c:v>0.207273695786652</c:v>
                </c:pt>
              </c:numCache>
            </c:numRef>
          </c:xVal>
          <c:yVal>
            <c:numRef>
              <c:f>'Run 1 (Alex)'!$G$274:$G$295</c:f>
              <c:numCache>
                <c:formatCode>General</c:formatCode>
                <c:ptCount val="22"/>
                <c:pt idx="0">
                  <c:v>8.0000000000000002E-3</c:v>
                </c:pt>
                <c:pt idx="1">
                  <c:v>1.9099999999999999E-2</c:v>
                </c:pt>
                <c:pt idx="2">
                  <c:v>0</c:v>
                </c:pt>
                <c:pt idx="3">
                  <c:v>0</c:v>
                </c:pt>
                <c:pt idx="4">
                  <c:v>8.2000000000000007E-3</c:v>
                </c:pt>
                <c:pt idx="5">
                  <c:v>1.66E-2</c:v>
                </c:pt>
                <c:pt idx="6">
                  <c:v>8.8999999999999999E-3</c:v>
                </c:pt>
                <c:pt idx="7">
                  <c:v>1.5100000000000001E-2</c:v>
                </c:pt>
                <c:pt idx="8">
                  <c:v>1.7500000000000002E-2</c:v>
                </c:pt>
                <c:pt idx="9">
                  <c:v>1.11E-2</c:v>
                </c:pt>
                <c:pt idx="10">
                  <c:v>2.1299999999999999E-2</c:v>
                </c:pt>
                <c:pt idx="11">
                  <c:v>7.0000000000000001E-3</c:v>
                </c:pt>
                <c:pt idx="12">
                  <c:v>1.5299999999999999E-2</c:v>
                </c:pt>
                <c:pt idx="13">
                  <c:v>1.9900000000000001E-2</c:v>
                </c:pt>
                <c:pt idx="14">
                  <c:v>1.29E-2</c:v>
                </c:pt>
                <c:pt idx="15">
                  <c:v>1.6899999999999998E-2</c:v>
                </c:pt>
                <c:pt idx="16">
                  <c:v>1.54E-2</c:v>
                </c:pt>
                <c:pt idx="17">
                  <c:v>8.0000000000000002E-3</c:v>
                </c:pt>
                <c:pt idx="18">
                  <c:v>4.0000000000000001E-3</c:v>
                </c:pt>
                <c:pt idx="19">
                  <c:v>1E-3</c:v>
                </c:pt>
                <c:pt idx="20">
                  <c:v>8.0999999999999996E-3</c:v>
                </c:pt>
                <c:pt idx="21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975-434F-A289-C7C240FB186B}"/>
            </c:ext>
          </c:extLst>
        </c:ser>
        <c:ser>
          <c:idx val="25"/>
          <c:order val="13"/>
          <c:tx>
            <c:strRef>
              <c:f>'Run 1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(Alex)'!$I$296:$I$316</c:f>
              <c:numCache>
                <c:formatCode>General</c:formatCode>
                <c:ptCount val="21"/>
                <c:pt idx="0">
                  <c:v>7.898875544115308E-3</c:v>
                </c:pt>
                <c:pt idx="1">
                  <c:v>7.9401075566498409E-3</c:v>
                </c:pt>
                <c:pt idx="2">
                  <c:v>8.5821488946875493E-3</c:v>
                </c:pt>
                <c:pt idx="3">
                  <c:v>9.0357010325673986E-3</c:v>
                </c:pt>
                <c:pt idx="4">
                  <c:v>9.7896578331988383E-3</c:v>
                </c:pt>
                <c:pt idx="5">
                  <c:v>1.0396357446206948E-2</c:v>
                </c:pt>
                <c:pt idx="6">
                  <c:v>1.1050179359254526E-2</c:v>
                </c:pt>
                <c:pt idx="7">
                  <c:v>1.1815916734895829E-2</c:v>
                </c:pt>
                <c:pt idx="8">
                  <c:v>1.2269468872775679E-2</c:v>
                </c:pt>
                <c:pt idx="9">
                  <c:v>1.3041096535921918E-2</c:v>
                </c:pt>
                <c:pt idx="10">
                  <c:v>1.3677247586454694E-2</c:v>
                </c:pt>
                <c:pt idx="11">
                  <c:v>1.436641122453187E-2</c:v>
                </c:pt>
                <c:pt idx="12">
                  <c:v>1.5350089237855699E-2</c:v>
                </c:pt>
                <c:pt idx="13">
                  <c:v>1.6428011851258459E-2</c:v>
                </c:pt>
                <c:pt idx="14">
                  <c:v>1.7959486602541069E-2</c:v>
                </c:pt>
                <c:pt idx="15">
                  <c:v>1.9973964929228195E-2</c:v>
                </c:pt>
                <c:pt idx="16">
                  <c:v>2.3431563694623934E-2</c:v>
                </c:pt>
                <c:pt idx="17">
                  <c:v>2.8673919574014408E-2</c:v>
                </c:pt>
                <c:pt idx="18">
                  <c:v>3.9188082770320022E-2</c:v>
                </c:pt>
                <c:pt idx="19">
                  <c:v>6.9028279270311174E-2</c:v>
                </c:pt>
                <c:pt idx="20">
                  <c:v>0.20828645646193991</c:v>
                </c:pt>
              </c:numCache>
            </c:numRef>
          </c:xVal>
          <c:yVal>
            <c:numRef>
              <c:f>'Run 1 (Alex)'!$G$296:$G$316</c:f>
              <c:numCache>
                <c:formatCode>General</c:formatCode>
                <c:ptCount val="21"/>
                <c:pt idx="0">
                  <c:v>7.1999999999999998E-3</c:v>
                </c:pt>
                <c:pt idx="1">
                  <c:v>7.9000000000000008E-3</c:v>
                </c:pt>
                <c:pt idx="2">
                  <c:v>1.8200000000000001E-2</c:v>
                </c:pt>
                <c:pt idx="3">
                  <c:v>9.4000000000000004E-3</c:v>
                </c:pt>
                <c:pt idx="4">
                  <c:v>1.9699999999999999E-2</c:v>
                </c:pt>
                <c:pt idx="5">
                  <c:v>1.0699999999999999E-2</c:v>
                </c:pt>
                <c:pt idx="6">
                  <c:v>7.1000000000000004E-3</c:v>
                </c:pt>
                <c:pt idx="7">
                  <c:v>1.3299999999999999E-2</c:v>
                </c:pt>
                <c:pt idx="8">
                  <c:v>1.5100000000000001E-2</c:v>
                </c:pt>
                <c:pt idx="9">
                  <c:v>1.77E-2</c:v>
                </c:pt>
                <c:pt idx="10">
                  <c:v>3.0999999999999999E-3</c:v>
                </c:pt>
                <c:pt idx="11">
                  <c:v>1.0699999999999999E-2</c:v>
                </c:pt>
                <c:pt idx="12">
                  <c:v>1.7100000000000001E-2</c:v>
                </c:pt>
                <c:pt idx="13">
                  <c:v>2.1600000000000001E-2</c:v>
                </c:pt>
                <c:pt idx="14">
                  <c:v>1.6799999999999999E-2</c:v>
                </c:pt>
                <c:pt idx="15">
                  <c:v>4.1000000000000003E-3</c:v>
                </c:pt>
                <c:pt idx="16">
                  <c:v>1.7299999999999999E-2</c:v>
                </c:pt>
                <c:pt idx="17">
                  <c:v>6.4000000000000003E-3</c:v>
                </c:pt>
                <c:pt idx="18">
                  <c:v>1.6299999999999999E-2</c:v>
                </c:pt>
                <c:pt idx="19">
                  <c:v>1.5599999999999999E-2</c:v>
                </c:pt>
                <c:pt idx="2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975-434F-A289-C7C240FB186B}"/>
            </c:ext>
          </c:extLst>
        </c:ser>
        <c:ser>
          <c:idx val="26"/>
          <c:order val="14"/>
          <c:tx>
            <c:strRef>
              <c:f>'Run 1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(Alex)'!$I$191:$I$211</c:f>
              <c:numCache>
                <c:formatCode>General</c:formatCode>
                <c:ptCount val="21"/>
                <c:pt idx="0">
                  <c:v>1.4880973766086325E-2</c:v>
                </c:pt>
                <c:pt idx="1">
                  <c:v>1.493845700612915E-2</c:v>
                </c:pt>
                <c:pt idx="2">
                  <c:v>1.5352815361437845E-2</c:v>
                </c:pt>
                <c:pt idx="3">
                  <c:v>1.5776754256753681E-2</c:v>
                </c:pt>
                <c:pt idx="4">
                  <c:v>1.6262966662115911E-2</c:v>
                </c:pt>
                <c:pt idx="5">
                  <c:v>1.6715647177453156E-2</c:v>
                </c:pt>
                <c:pt idx="6">
                  <c:v>1.7314430927899253E-2</c:v>
                </c:pt>
                <c:pt idx="7">
                  <c:v>1.7865311978309657E-2</c:v>
                </c:pt>
                <c:pt idx="8">
                  <c:v>1.8310807088641551E-2</c:v>
                </c:pt>
                <c:pt idx="9">
                  <c:v>1.8825761114025188E-2</c:v>
                </c:pt>
                <c:pt idx="10">
                  <c:v>1.9386222704442735E-2</c:v>
                </c:pt>
                <c:pt idx="11">
                  <c:v>1.9941894024856712E-2</c:v>
                </c:pt>
                <c:pt idx="12">
                  <c:v>2.064127344537775E-2</c:v>
                </c:pt>
                <c:pt idx="13">
                  <c:v>2.1546634476052241E-2</c:v>
                </c:pt>
                <c:pt idx="14">
                  <c:v>2.2792104676980115E-2</c:v>
                </c:pt>
                <c:pt idx="15">
                  <c:v>2.4552528903291633E-2</c:v>
                </c:pt>
                <c:pt idx="16">
                  <c:v>2.7649438460598832E-2</c:v>
                </c:pt>
                <c:pt idx="17">
                  <c:v>3.2190614423982009E-2</c:v>
                </c:pt>
                <c:pt idx="18">
                  <c:v>4.1634631736017801E-2</c:v>
                </c:pt>
                <c:pt idx="19">
                  <c:v>6.7099707074989273E-2</c:v>
                </c:pt>
                <c:pt idx="20">
                  <c:v>0.18721812254947748</c:v>
                </c:pt>
              </c:numCache>
            </c:numRef>
          </c:xVal>
          <c:yVal>
            <c:numRef>
              <c:f>'Run 1 (Alex)'!$G$191:$G$211</c:f>
              <c:numCache>
                <c:formatCode>General</c:formatCode>
                <c:ptCount val="21"/>
                <c:pt idx="0">
                  <c:v>4.07E-2</c:v>
                </c:pt>
                <c:pt idx="1">
                  <c:v>4.7399999999999998E-2</c:v>
                </c:pt>
                <c:pt idx="2">
                  <c:v>4.2099999999999999E-2</c:v>
                </c:pt>
                <c:pt idx="3">
                  <c:v>3.3000000000000002E-2</c:v>
                </c:pt>
                <c:pt idx="4">
                  <c:v>4.41E-2</c:v>
                </c:pt>
                <c:pt idx="5">
                  <c:v>4.3299999999999998E-2</c:v>
                </c:pt>
                <c:pt idx="6">
                  <c:v>4.6100000000000002E-2</c:v>
                </c:pt>
                <c:pt idx="7">
                  <c:v>4.2299999999999997E-2</c:v>
                </c:pt>
                <c:pt idx="8">
                  <c:v>3.4000000000000002E-2</c:v>
                </c:pt>
                <c:pt idx="9">
                  <c:v>3.5299999999999998E-2</c:v>
                </c:pt>
                <c:pt idx="10">
                  <c:v>3.2099999999999997E-2</c:v>
                </c:pt>
                <c:pt idx="11">
                  <c:v>4.7E-2</c:v>
                </c:pt>
                <c:pt idx="12">
                  <c:v>3.4000000000000002E-2</c:v>
                </c:pt>
                <c:pt idx="13">
                  <c:v>3.1E-2</c:v>
                </c:pt>
                <c:pt idx="14">
                  <c:v>3.4000000000000002E-2</c:v>
                </c:pt>
                <c:pt idx="15">
                  <c:v>3.3000000000000002E-2</c:v>
                </c:pt>
                <c:pt idx="16">
                  <c:v>3.15E-2</c:v>
                </c:pt>
                <c:pt idx="17">
                  <c:v>3.5099999999999999E-2</c:v>
                </c:pt>
                <c:pt idx="18">
                  <c:v>3.5999999999999997E-2</c:v>
                </c:pt>
                <c:pt idx="19">
                  <c:v>4.0899999999999999E-2</c:v>
                </c:pt>
                <c:pt idx="20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975-434F-A289-C7C240FB186B}"/>
            </c:ext>
          </c:extLst>
        </c:ser>
        <c:ser>
          <c:idx val="1"/>
          <c:order val="15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(Ty)'!$I$2:$I$21</c:f>
              <c:numCache>
                <c:formatCode>General</c:formatCode>
                <c:ptCount val="20"/>
                <c:pt idx="0">
                  <c:v>1.6040219106949964E-2</c:v>
                </c:pt>
                <c:pt idx="1">
                  <c:v>1.7163537422786833E-2</c:v>
                </c:pt>
                <c:pt idx="2">
                  <c:v>2.032511562514221E-2</c:v>
                </c:pt>
                <c:pt idx="3">
                  <c:v>2.3699860842656396E-2</c:v>
                </c:pt>
                <c:pt idx="4">
                  <c:v>2.7031493630138462E-2</c:v>
                </c:pt>
                <c:pt idx="5">
                  <c:v>3.034157020260447E-2</c:v>
                </c:pt>
                <c:pt idx="6">
                  <c:v>3.3553446239997314E-2</c:v>
                </c:pt>
                <c:pt idx="7">
                  <c:v>3.6700653632341984E-2</c:v>
                </c:pt>
                <c:pt idx="8">
                  <c:v>3.9337697269306589E-2</c:v>
                </c:pt>
                <c:pt idx="9">
                  <c:v>4.254957330669943E-2</c:v>
                </c:pt>
                <c:pt idx="10">
                  <c:v>4.5318349368762174E-2</c:v>
                </c:pt>
                <c:pt idx="11">
                  <c:v>4.8290711905976579E-2</c:v>
                </c:pt>
                <c:pt idx="12">
                  <c:v>5.2096581423811947E-2</c:v>
                </c:pt>
                <c:pt idx="13">
                  <c:v>5.7145526007573416E-2</c:v>
                </c:pt>
                <c:pt idx="14">
                  <c:v>6.3480658087293099E-2</c:v>
                </c:pt>
                <c:pt idx="15">
                  <c:v>7.0963059832867464E-2</c:v>
                </c:pt>
                <c:pt idx="16">
                  <c:v>8.3441713192164077E-2</c:v>
                </c:pt>
                <c:pt idx="17">
                  <c:v>0.10142438678556116</c:v>
                </c:pt>
                <c:pt idx="18">
                  <c:v>0.13379224119967523</c:v>
                </c:pt>
                <c:pt idx="19">
                  <c:v>0.20555767125814045</c:v>
                </c:pt>
              </c:numCache>
            </c:numRef>
          </c:xVal>
          <c:yVal>
            <c:numRef>
              <c:f>'Run 1 (Ty)'!$G$2:$G$21</c:f>
              <c:numCache>
                <c:formatCode>General</c:formatCode>
                <c:ptCount val="20"/>
                <c:pt idx="0">
                  <c:v>1.09E-2</c:v>
                </c:pt>
                <c:pt idx="1">
                  <c:v>8.0000000000000002E-3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8.9999999999999993E-3</c:v>
                </c:pt>
                <c:pt idx="11">
                  <c:v>9.4000000000000004E-3</c:v>
                </c:pt>
                <c:pt idx="12">
                  <c:v>1.03E-2</c:v>
                </c:pt>
                <c:pt idx="13">
                  <c:v>8.9999999999999993E-3</c:v>
                </c:pt>
                <c:pt idx="14">
                  <c:v>1.0999999999999999E-2</c:v>
                </c:pt>
                <c:pt idx="15">
                  <c:v>1.0800000000000001E-2</c:v>
                </c:pt>
                <c:pt idx="16">
                  <c:v>1.0999999999999999E-2</c:v>
                </c:pt>
                <c:pt idx="17">
                  <c:v>0.01</c:v>
                </c:pt>
                <c:pt idx="18">
                  <c:v>1.0999999999999999E-2</c:v>
                </c:pt>
                <c:pt idx="19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975-434F-A289-C7C240FB186B}"/>
            </c:ext>
          </c:extLst>
        </c:ser>
        <c:ser>
          <c:idx val="2"/>
          <c:order val="16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(Ty)'!$I$22:$I$41</c:f>
              <c:numCache>
                <c:formatCode>General</c:formatCode>
                <c:ptCount val="20"/>
                <c:pt idx="0">
                  <c:v>1.8836175502925885E-2</c:v>
                </c:pt>
                <c:pt idx="1">
                  <c:v>2.2075997689429135E-2</c:v>
                </c:pt>
                <c:pt idx="2">
                  <c:v>3.1820579149609458E-2</c:v>
                </c:pt>
                <c:pt idx="3">
                  <c:v>4.1213552000401839E-2</c:v>
                </c:pt>
                <c:pt idx="4">
                  <c:v>4.997865233443001E-2</c:v>
                </c:pt>
                <c:pt idx="5">
                  <c:v>5.801542054901173E-2</c:v>
                </c:pt>
                <c:pt idx="6">
                  <c:v>6.5148052339452991E-2</c:v>
                </c:pt>
                <c:pt idx="7">
                  <c:v>7.2305799030564832E-2</c:v>
                </c:pt>
                <c:pt idx="8">
                  <c:v>7.783107717808975E-2</c:v>
                </c:pt>
                <c:pt idx="9">
                  <c:v>8.4310721551096257E-2</c:v>
                </c:pt>
                <c:pt idx="10">
                  <c:v>8.9760654996609485E-2</c:v>
                </c:pt>
                <c:pt idx="11">
                  <c:v>9.5587311952181231E-2</c:v>
                </c:pt>
                <c:pt idx="12">
                  <c:v>0.10302132255066931</c:v>
                </c:pt>
                <c:pt idx="13">
                  <c:v>0.11178642288469748</c:v>
                </c:pt>
                <c:pt idx="14">
                  <c:v>0.1223849109676771</c:v>
                </c:pt>
                <c:pt idx="15">
                  <c:v>0.13426425898485572</c:v>
                </c:pt>
                <c:pt idx="16">
                  <c:v>0.15282417058040534</c:v>
                </c:pt>
                <c:pt idx="17">
                  <c:v>0.17813999045633774</c:v>
                </c:pt>
                <c:pt idx="18">
                  <c:v>0.21940377225808072</c:v>
                </c:pt>
                <c:pt idx="19">
                  <c:v>0.30343822990180069</c:v>
                </c:pt>
              </c:numCache>
            </c:numRef>
          </c:xVal>
          <c:yVal>
            <c:numRef>
              <c:f>'Run 1 (Ty)'!$G$22:$G$41</c:f>
              <c:numCache>
                <c:formatCode>General</c:formatCode>
                <c:ptCount val="20"/>
                <c:pt idx="0">
                  <c:v>1E-3</c:v>
                </c:pt>
                <c:pt idx="1">
                  <c:v>2E-3</c:v>
                </c:pt>
                <c:pt idx="2">
                  <c:v>1.1999999999999999E-3</c:v>
                </c:pt>
                <c:pt idx="3">
                  <c:v>1E-3</c:v>
                </c:pt>
                <c:pt idx="4">
                  <c:v>2E-3</c:v>
                </c:pt>
                <c:pt idx="5">
                  <c:v>1.9E-3</c:v>
                </c:pt>
                <c:pt idx="6">
                  <c:v>2E-3</c:v>
                </c:pt>
                <c:pt idx="7">
                  <c:v>1.6000000000000001E-3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975-434F-A289-C7C240FB186B}"/>
            </c:ext>
          </c:extLst>
        </c:ser>
        <c:ser>
          <c:idx val="3"/>
          <c:order val="17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(Ty)'!$I$42:$I$61</c:f>
              <c:numCache>
                <c:formatCode>General</c:formatCode>
                <c:ptCount val="20"/>
                <c:pt idx="0">
                  <c:v>0.13028021748222501</c:v>
                </c:pt>
                <c:pt idx="1">
                  <c:v>0.15181932245922208</c:v>
                </c:pt>
                <c:pt idx="2">
                  <c:v>0.20242576327896278</c:v>
                </c:pt>
                <c:pt idx="3">
                  <c:v>0.2425763278962777</c:v>
                </c:pt>
                <c:pt idx="4">
                  <c:v>0.28262233375156837</c:v>
                </c:pt>
                <c:pt idx="5">
                  <c:v>0.31534922626516104</c:v>
                </c:pt>
                <c:pt idx="6">
                  <c:v>0.34995817649519029</c:v>
                </c:pt>
                <c:pt idx="7">
                  <c:v>0.39397741530740277</c:v>
                </c:pt>
                <c:pt idx="8">
                  <c:v>0.40892931827687157</c:v>
                </c:pt>
                <c:pt idx="9">
                  <c:v>0.42471769134253445</c:v>
                </c:pt>
                <c:pt idx="10">
                  <c:v>0.44102885821831866</c:v>
                </c:pt>
                <c:pt idx="11">
                  <c:v>0.46309075700543706</c:v>
                </c:pt>
                <c:pt idx="12">
                  <c:v>0.56168966959431199</c:v>
                </c:pt>
                <c:pt idx="13">
                  <c:v>0.62923462986198242</c:v>
                </c:pt>
                <c:pt idx="14">
                  <c:v>0.66206608113759935</c:v>
                </c:pt>
                <c:pt idx="15">
                  <c:v>0.7030531158511083</c:v>
                </c:pt>
                <c:pt idx="16">
                  <c:v>0.75439146800501888</c:v>
                </c:pt>
                <c:pt idx="17">
                  <c:v>0.82883730656629018</c:v>
                </c:pt>
                <c:pt idx="18">
                  <c:v>1.0391049769970724</c:v>
                </c:pt>
                <c:pt idx="19">
                  <c:v>1.3730656629025511</c:v>
                </c:pt>
              </c:numCache>
            </c:numRef>
          </c:xVal>
          <c:yVal>
            <c:numRef>
              <c:f>'Run 1 (Ty)'!$G$42:$G$61</c:f>
              <c:numCache>
                <c:formatCode>General</c:formatCode>
                <c:ptCount val="20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3.0000000000000001E-3</c:v>
                </c:pt>
                <c:pt idx="10">
                  <c:v>2E-3</c:v>
                </c:pt>
                <c:pt idx="11">
                  <c:v>3.0000000000000001E-3</c:v>
                </c:pt>
                <c:pt idx="12">
                  <c:v>2E-3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2E-3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2E-3</c:v>
                </c:pt>
                <c:pt idx="19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975-434F-A289-C7C240FB186B}"/>
            </c:ext>
          </c:extLst>
        </c:ser>
        <c:ser>
          <c:idx val="4"/>
          <c:order val="18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(Ty)'!$I$62:$I$81</c:f>
              <c:numCache>
                <c:formatCode>General</c:formatCode>
                <c:ptCount val="20"/>
                <c:pt idx="0">
                  <c:v>1.0631968946404275E-2</c:v>
                </c:pt>
                <c:pt idx="1">
                  <c:v>1.3718479598989227E-2</c:v>
                </c:pt>
                <c:pt idx="2">
                  <c:v>1.9797256304080201E-2</c:v>
                </c:pt>
                <c:pt idx="3">
                  <c:v>2.5275223683667997E-2</c:v>
                </c:pt>
                <c:pt idx="4">
                  <c:v>3.0441005825494343E-2</c:v>
                </c:pt>
                <c:pt idx="5">
                  <c:v>3.5412408479657889E-2</c:v>
                </c:pt>
                <c:pt idx="6">
                  <c:v>4.005395503354519E-2</c:v>
                </c:pt>
                <c:pt idx="7">
                  <c:v>4.4613037562363414E-2</c:v>
                </c:pt>
                <c:pt idx="8">
                  <c:v>4.8318028402966347E-2</c:v>
                </c:pt>
                <c:pt idx="9">
                  <c:v>5.2665060581606984E-2</c:v>
                </c:pt>
                <c:pt idx="10">
                  <c:v>5.6428954297259248E-2</c:v>
                </c:pt>
                <c:pt idx="11">
                  <c:v>6.0404898363089099E-2</c:v>
                </c:pt>
                <c:pt idx="12">
                  <c:v>6.5594241654935173E-2</c:v>
                </c:pt>
                <c:pt idx="13">
                  <c:v>7.2120680210401064E-2</c:v>
                </c:pt>
                <c:pt idx="14">
                  <c:v>8.048488846740609E-2</c:v>
                </c:pt>
                <c:pt idx="15">
                  <c:v>9.0527828663317059E-2</c:v>
                </c:pt>
                <c:pt idx="16">
                  <c:v>0.10613120026388488</c:v>
                </c:pt>
                <c:pt idx="17">
                  <c:v>0.12765431080691048</c:v>
                </c:pt>
                <c:pt idx="18">
                  <c:v>0.16382067608719983</c:v>
                </c:pt>
                <c:pt idx="19">
                  <c:v>0.23577053795995781</c:v>
                </c:pt>
              </c:numCache>
            </c:numRef>
          </c:xVal>
          <c:yVal>
            <c:numRef>
              <c:f>'Run 1 (Ty)'!$G$62:$G$81</c:f>
              <c:numCache>
                <c:formatCode>General</c:formatCode>
                <c:ptCount val="20"/>
                <c:pt idx="0">
                  <c:v>2.3999999999999998E-3</c:v>
                </c:pt>
                <c:pt idx="1">
                  <c:v>2.7000000000000001E-3</c:v>
                </c:pt>
                <c:pt idx="2">
                  <c:v>3.0000000000000001E-3</c:v>
                </c:pt>
                <c:pt idx="3">
                  <c:v>3.5999999999999999E-3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2.5000000000000001E-3</c:v>
                </c:pt>
                <c:pt idx="7">
                  <c:v>3.3999999999999998E-3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3.0000000000000001E-3</c:v>
                </c:pt>
                <c:pt idx="12">
                  <c:v>3.2000000000000002E-3</c:v>
                </c:pt>
                <c:pt idx="13">
                  <c:v>4.0000000000000001E-3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5.3E-3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75-434F-A289-C7C240FB186B}"/>
            </c:ext>
          </c:extLst>
        </c:ser>
        <c:ser>
          <c:idx val="5"/>
          <c:order val="19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(Ty)'!$I$82:$I$101</c:f>
              <c:numCache>
                <c:formatCode>General</c:formatCode>
                <c:ptCount val="20"/>
                <c:pt idx="0">
                  <c:v>1.5421394307475819E-2</c:v>
                </c:pt>
                <c:pt idx="1">
                  <c:v>1.9920172836793728E-2</c:v>
                </c:pt>
                <c:pt idx="2">
                  <c:v>2.8797413725459423E-2</c:v>
                </c:pt>
                <c:pt idx="3">
                  <c:v>3.6293634228381014E-2</c:v>
                </c:pt>
                <c:pt idx="4">
                  <c:v>4.2979028368460417E-2</c:v>
                </c:pt>
                <c:pt idx="5">
                  <c:v>4.9026223693915662E-2</c:v>
                </c:pt>
                <c:pt idx="6">
                  <c:v>5.4560767512541651E-2</c:v>
                </c:pt>
                <c:pt idx="7">
                  <c:v>5.9995919712496661E-2</c:v>
                </c:pt>
                <c:pt idx="8">
                  <c:v>6.4154674283203331E-2</c:v>
                </c:pt>
                <c:pt idx="9">
                  <c:v>6.8836542636388845E-2</c:v>
                </c:pt>
                <c:pt idx="10">
                  <c:v>7.2801745107578336E-2</c:v>
                </c:pt>
                <c:pt idx="11">
                  <c:v>7.7002348780883315E-2</c:v>
                </c:pt>
                <c:pt idx="12">
                  <c:v>8.2223024330022015E-2</c:v>
                </c:pt>
                <c:pt idx="13">
                  <c:v>8.8610243614088494E-2</c:v>
                </c:pt>
                <c:pt idx="14">
                  <c:v>9.6462181489095689E-2</c:v>
                </c:pt>
                <c:pt idx="15">
                  <c:v>0.1055538990285777</c:v>
                </c:pt>
                <c:pt idx="16">
                  <c:v>0.11980874960112574</c:v>
                </c:pt>
                <c:pt idx="17">
                  <c:v>0.13932089368758596</c:v>
                </c:pt>
                <c:pt idx="18">
                  <c:v>0.17308788834659425</c:v>
                </c:pt>
                <c:pt idx="19">
                  <c:v>0.24497941547265945</c:v>
                </c:pt>
              </c:numCache>
            </c:numRef>
          </c:xVal>
          <c:yVal>
            <c:numRef>
              <c:f>'Run 1 (Ty)'!$G$82:$G$101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5.1999999999999998E-3</c:v>
                </c:pt>
                <c:pt idx="12">
                  <c:v>4.1000000000000003E-3</c:v>
                </c:pt>
                <c:pt idx="13">
                  <c:v>5.0000000000000001E-3</c:v>
                </c:pt>
                <c:pt idx="14">
                  <c:v>4.1999999999999997E-3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6.0000000000000001E-3</c:v>
                </c:pt>
                <c:pt idx="19">
                  <c:v>7.4999999999999997E-3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75-434F-A289-C7C240FB186B}"/>
            </c:ext>
          </c:extLst>
        </c:ser>
        <c:ser>
          <c:idx val="0"/>
          <c:order val="20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(Ty)'!$I$102:$I$121</c:f>
              <c:numCache>
                <c:formatCode>General</c:formatCode>
                <c:ptCount val="20"/>
                <c:pt idx="0">
                  <c:v>0.10784479360252294</c:v>
                </c:pt>
                <c:pt idx="1">
                  <c:v>0.1291040153179028</c:v>
                </c:pt>
                <c:pt idx="2">
                  <c:v>0.17624035591597681</c:v>
                </c:pt>
                <c:pt idx="3">
                  <c:v>0.21839274652249818</c:v>
                </c:pt>
                <c:pt idx="4">
                  <c:v>0.25654671397195472</c:v>
                </c:pt>
                <c:pt idx="5">
                  <c:v>0.29436278650672976</c:v>
                </c:pt>
                <c:pt idx="6">
                  <c:v>0.32739201441684967</c:v>
                </c:pt>
                <c:pt idx="7">
                  <c:v>0.36850256236976969</c:v>
                </c:pt>
                <c:pt idx="8">
                  <c:v>0.39226783803570425</c:v>
                </c:pt>
                <c:pt idx="9">
                  <c:v>0.41665258771188829</c:v>
                </c:pt>
                <c:pt idx="10">
                  <c:v>0.44236075913724165</c:v>
                </c:pt>
                <c:pt idx="11">
                  <c:v>0.47426367066508984</c:v>
                </c:pt>
                <c:pt idx="12">
                  <c:v>0.51911922058906357</c:v>
                </c:pt>
                <c:pt idx="13">
                  <c:v>0.58120741116179531</c:v>
                </c:pt>
                <c:pt idx="14">
                  <c:v>0.62870980458410775</c:v>
                </c:pt>
                <c:pt idx="15">
                  <c:v>0.69499352368080192</c:v>
                </c:pt>
                <c:pt idx="16">
                  <c:v>0.79523568170299042</c:v>
                </c:pt>
                <c:pt idx="17">
                  <c:v>0.88919862589401377</c:v>
                </c:pt>
                <c:pt idx="18">
                  <c:v>1.0519231852227291</c:v>
                </c:pt>
                <c:pt idx="19">
                  <c:v>1.4119783747254604</c:v>
                </c:pt>
              </c:numCache>
            </c:numRef>
          </c:xVal>
          <c:yVal>
            <c:numRef>
              <c:f>'Run 1 (Ty)'!$G$102:$G$121</c:f>
              <c:numCache>
                <c:formatCode>General</c:formatCode>
                <c:ptCount val="20"/>
                <c:pt idx="0">
                  <c:v>5.0000000000000001E-3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5.4999999999999997E-3</c:v>
                </c:pt>
                <c:pt idx="12">
                  <c:v>5.4999999999999997E-3</c:v>
                </c:pt>
                <c:pt idx="13">
                  <c:v>6.3E-3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7.0000000000000001E-3</c:v>
                </c:pt>
                <c:pt idx="19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75-434F-A289-C7C240FB186B}"/>
            </c:ext>
          </c:extLst>
        </c:ser>
        <c:ser>
          <c:idx val="6"/>
          <c:order val="21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(Ty)'!$I$122:$I$141</c:f>
              <c:numCache>
                <c:formatCode>General</c:formatCode>
                <c:ptCount val="20"/>
                <c:pt idx="0">
                  <c:v>4.6560663670929828E-2</c:v>
                </c:pt>
                <c:pt idx="1">
                  <c:v>5.4631870031109572E-2</c:v>
                </c:pt>
                <c:pt idx="2">
                  <c:v>7.1361908053923256E-2</c:v>
                </c:pt>
                <c:pt idx="3">
                  <c:v>8.6329070169374356E-2</c:v>
                </c:pt>
                <c:pt idx="4">
                  <c:v>9.9153128240580701E-2</c:v>
                </c:pt>
                <c:pt idx="5">
                  <c:v>0.1115105426892499</c:v>
                </c:pt>
                <c:pt idx="6">
                  <c:v>0.12317663325267887</c:v>
                </c:pt>
                <c:pt idx="7">
                  <c:v>0.13441064638783268</c:v>
                </c:pt>
                <c:pt idx="8">
                  <c:v>0.14377808503283787</c:v>
                </c:pt>
                <c:pt idx="9">
                  <c:v>0.15508123055651574</c:v>
                </c:pt>
                <c:pt idx="10">
                  <c:v>0.16451780159004492</c:v>
                </c:pt>
                <c:pt idx="11">
                  <c:v>0.17428275146906325</c:v>
                </c:pt>
                <c:pt idx="12">
                  <c:v>0.18689941237469754</c:v>
                </c:pt>
                <c:pt idx="13">
                  <c:v>0.20285171102661598</c:v>
                </c:pt>
                <c:pt idx="14">
                  <c:v>0.22205323193916346</c:v>
                </c:pt>
                <c:pt idx="15">
                  <c:v>0.24424472865537503</c:v>
                </c:pt>
                <c:pt idx="16">
                  <c:v>0.28043553404770133</c:v>
                </c:pt>
                <c:pt idx="17">
                  <c:v>0.33287245074317318</c:v>
                </c:pt>
                <c:pt idx="18">
                  <c:v>0.43204286208088488</c:v>
                </c:pt>
                <c:pt idx="19">
                  <c:v>0.66973729692360862</c:v>
                </c:pt>
              </c:numCache>
            </c:numRef>
          </c:xVal>
          <c:yVal>
            <c:numRef>
              <c:f>'Run 1 (Ty)'!$G$122:$G$141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4.4000000000000003E-3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4.4000000000000003E-3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5.3E-3</c:v>
                </c:pt>
                <c:pt idx="17">
                  <c:v>6.0000000000000001E-3</c:v>
                </c:pt>
                <c:pt idx="18">
                  <c:v>5.0000000000000001E-3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975-434F-A289-C7C240FB186B}"/>
            </c:ext>
          </c:extLst>
        </c:ser>
        <c:ser>
          <c:idx val="7"/>
          <c:order val="22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(Ty)'!$I$142:$I$161</c:f>
              <c:numCache>
                <c:formatCode>General</c:formatCode>
                <c:ptCount val="20"/>
                <c:pt idx="0">
                  <c:v>1.9402120883951834E-2</c:v>
                </c:pt>
                <c:pt idx="1">
                  <c:v>2.433440914403354E-2</c:v>
                </c:pt>
                <c:pt idx="2">
                  <c:v>3.457426846659447E-2</c:v>
                </c:pt>
                <c:pt idx="3">
                  <c:v>4.3790141856899313E-2</c:v>
                </c:pt>
                <c:pt idx="4">
                  <c:v>5.1638913609898883E-2</c:v>
                </c:pt>
                <c:pt idx="5">
                  <c:v>5.9123124926283736E-2</c:v>
                </c:pt>
                <c:pt idx="6">
                  <c:v>6.6762810546518989E-2</c:v>
                </c:pt>
                <c:pt idx="7">
                  <c:v>7.4005768632791138E-2</c:v>
                </c:pt>
                <c:pt idx="8">
                  <c:v>7.9206116037442501E-2</c:v>
                </c:pt>
                <c:pt idx="9">
                  <c:v>8.4620910757749593E-2</c:v>
                </c:pt>
                <c:pt idx="10">
                  <c:v>8.9285139873261629E-2</c:v>
                </c:pt>
                <c:pt idx="11">
                  <c:v>9.4067315012384342E-2</c:v>
                </c:pt>
                <c:pt idx="12">
                  <c:v>9.9803780706175016E-2</c:v>
                </c:pt>
                <c:pt idx="13">
                  <c:v>0.10655350996643899</c:v>
                </c:pt>
                <c:pt idx="14">
                  <c:v>0.11445053236546111</c:v>
                </c:pt>
                <c:pt idx="15">
                  <c:v>0.12390765898587865</c:v>
                </c:pt>
                <c:pt idx="16">
                  <c:v>0.13710689126448861</c:v>
                </c:pt>
                <c:pt idx="17">
                  <c:v>0.15454145802729913</c:v>
                </c:pt>
                <c:pt idx="18">
                  <c:v>0.18682114021637736</c:v>
                </c:pt>
                <c:pt idx="19">
                  <c:v>0.25501538659489831</c:v>
                </c:pt>
              </c:numCache>
            </c:numRef>
          </c:xVal>
          <c:yVal>
            <c:numRef>
              <c:f>'Run 1 (Ty)'!$G$142:$G$161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4.7000000000000002E-3</c:v>
                </c:pt>
                <c:pt idx="8">
                  <c:v>5.0000000000000001E-3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4.7999999999999996E-3</c:v>
                </c:pt>
                <c:pt idx="18">
                  <c:v>6.0000000000000001E-3</c:v>
                </c:pt>
                <c:pt idx="1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975-434F-A289-C7C240FB186B}"/>
            </c:ext>
          </c:extLst>
        </c:ser>
        <c:ser>
          <c:idx val="8"/>
          <c:order val="23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(Ty)'!$I$162:$I$181</c:f>
              <c:numCache>
                <c:formatCode>General</c:formatCode>
                <c:ptCount val="20"/>
                <c:pt idx="0">
                  <c:v>1.7256376441538761E-2</c:v>
                </c:pt>
                <c:pt idx="1">
                  <c:v>2.2311699729696866E-2</c:v>
                </c:pt>
                <c:pt idx="2">
                  <c:v>3.1664749291506492E-2</c:v>
                </c:pt>
                <c:pt idx="3">
                  <c:v>3.9680312765977339E-2</c:v>
                </c:pt>
                <c:pt idx="4">
                  <c:v>4.6849425255104424E-2</c:v>
                </c:pt>
                <c:pt idx="5">
                  <c:v>5.3611680088292785E-2</c:v>
                </c:pt>
                <c:pt idx="6">
                  <c:v>6.0224286128492191E-2</c:v>
                </c:pt>
                <c:pt idx="7">
                  <c:v>6.6397298839286537E-2</c:v>
                </c:pt>
                <c:pt idx="8">
                  <c:v>7.1340385532702943E-2</c:v>
                </c:pt>
                <c:pt idx="9">
                  <c:v>7.6751124704209805E-2</c:v>
                </c:pt>
                <c:pt idx="10">
                  <c:v>8.1572621753322666E-2</c:v>
                </c:pt>
                <c:pt idx="11">
                  <c:v>8.6796299933593335E-2</c:v>
                </c:pt>
                <c:pt idx="12">
                  <c:v>9.2945930020483167E-2</c:v>
                </c:pt>
                <c:pt idx="13">
                  <c:v>0.10082119775152688</c:v>
                </c:pt>
                <c:pt idx="14">
                  <c:v>0.11020698298680284</c:v>
                </c:pt>
                <c:pt idx="15">
                  <c:v>0.12113602139977737</c:v>
                </c:pt>
                <c:pt idx="16">
                  <c:v>0.13769559564896133</c:v>
                </c:pt>
                <c:pt idx="17">
                  <c:v>0.16023176856814164</c:v>
                </c:pt>
                <c:pt idx="18">
                  <c:v>0.19938363403387674</c:v>
                </c:pt>
                <c:pt idx="19">
                  <c:v>0.28236388974625171</c:v>
                </c:pt>
              </c:numCache>
            </c:numRef>
          </c:xVal>
          <c:yVal>
            <c:numRef>
              <c:f>'Run 1 (Ty)'!$G$162:$G$181</c:f>
              <c:numCache>
                <c:formatCode>General</c:formatCode>
                <c:ptCount val="20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975-434F-A289-C7C240FB186B}"/>
            </c:ext>
          </c:extLst>
        </c:ser>
        <c:ser>
          <c:idx val="9"/>
          <c:order val="24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'Run 1 (Ty)'!$I$182:$I$201</c:f>
              <c:numCache>
                <c:formatCode>General</c:formatCode>
                <c:ptCount val="20"/>
                <c:pt idx="0">
                  <c:v>0.29864603481624757</c:v>
                </c:pt>
                <c:pt idx="1">
                  <c:v>0.33655705996131524</c:v>
                </c:pt>
                <c:pt idx="2">
                  <c:v>0.40735009671179878</c:v>
                </c:pt>
                <c:pt idx="3">
                  <c:v>0.46847195357833649</c:v>
                </c:pt>
                <c:pt idx="4">
                  <c:v>0.51914893617021274</c:v>
                </c:pt>
                <c:pt idx="5">
                  <c:v>0.56885880077369433</c:v>
                </c:pt>
                <c:pt idx="6">
                  <c:v>0.61760154738878137</c:v>
                </c:pt>
                <c:pt idx="7">
                  <c:v>0.65261121856866533</c:v>
                </c:pt>
                <c:pt idx="8">
                  <c:v>0.68239845261121856</c:v>
                </c:pt>
                <c:pt idx="9">
                  <c:v>0.7135396518375241</c:v>
                </c:pt>
                <c:pt idx="10">
                  <c:v>0.74216634429400374</c:v>
                </c:pt>
                <c:pt idx="11">
                  <c:v>0.77678916827852984</c:v>
                </c:pt>
                <c:pt idx="12">
                  <c:v>0.81605415860734998</c:v>
                </c:pt>
                <c:pt idx="13">
                  <c:v>0.86170212765957432</c:v>
                </c:pt>
                <c:pt idx="14">
                  <c:v>0.92301740812379107</c:v>
                </c:pt>
                <c:pt idx="15">
                  <c:v>0.98355899419729209</c:v>
                </c:pt>
                <c:pt idx="16">
                  <c:v>1.0528046421663442</c:v>
                </c:pt>
                <c:pt idx="17">
                  <c:v>1.1381044487427465</c:v>
                </c:pt>
                <c:pt idx="18">
                  <c:v>1.3085106382978724</c:v>
                </c:pt>
                <c:pt idx="19">
                  <c:v>1.6156673114119922</c:v>
                </c:pt>
              </c:numCache>
            </c:numRef>
          </c:xVal>
          <c:yVal>
            <c:numRef>
              <c:f>'Run 1 (Ty)'!$G$182:$G$201</c:f>
              <c:numCache>
                <c:formatCode>General</c:formatCode>
                <c:ptCount val="20"/>
                <c:pt idx="0">
                  <c:v>4.0000000000000001E-3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1E-3</c:v>
                </c:pt>
                <c:pt idx="7">
                  <c:v>1.5E-3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4.0000000000000001E-3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975-434F-A289-C7C240FB186B}"/>
            </c:ext>
          </c:extLst>
        </c:ser>
        <c:ser>
          <c:idx val="10"/>
          <c:order val="25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(Ty)'!$I$202:$I$221</c:f>
              <c:numCache>
                <c:formatCode>General</c:formatCode>
                <c:ptCount val="20"/>
                <c:pt idx="0">
                  <c:v>6.5707918142836825E-3</c:v>
                </c:pt>
                <c:pt idx="1">
                  <c:v>8.3706468504230365E-3</c:v>
                </c:pt>
                <c:pt idx="2">
                  <c:v>1.2084837728538238E-2</c:v>
                </c:pt>
                <c:pt idx="3">
                  <c:v>1.4979373132912893E-2</c:v>
                </c:pt>
                <c:pt idx="4">
                  <c:v>1.7489144645482072E-2</c:v>
                </c:pt>
                <c:pt idx="5">
                  <c:v>1.9935917844780288E-2</c:v>
                </c:pt>
                <c:pt idx="6">
                  <c:v>2.2110375754455607E-2</c:v>
                </c:pt>
                <c:pt idx="7">
                  <c:v>2.5695860401157001E-2</c:v>
                </c:pt>
                <c:pt idx="8">
                  <c:v>2.6872506316766357E-2</c:v>
                </c:pt>
                <c:pt idx="9">
                  <c:v>2.7908930180256464E-2</c:v>
                </c:pt>
                <c:pt idx="10">
                  <c:v>2.9015803770415179E-2</c:v>
                </c:pt>
                <c:pt idx="11">
                  <c:v>3.0596858213151071E-2</c:v>
                </c:pt>
                <c:pt idx="12">
                  <c:v>4.1652046090378869E-2</c:v>
                </c:pt>
                <c:pt idx="13">
                  <c:v>4.8839950414230851E-2</c:v>
                </c:pt>
                <c:pt idx="14">
                  <c:v>5.1468267139944318E-2</c:v>
                </c:pt>
                <c:pt idx="15">
                  <c:v>5.4450187301436768E-2</c:v>
                </c:pt>
                <c:pt idx="16">
                  <c:v>5.7974028437303135E-2</c:v>
                </c:pt>
                <c:pt idx="17">
                  <c:v>6.3341755688476734E-2</c:v>
                </c:pt>
                <c:pt idx="18">
                  <c:v>8.1372821308332718E-2</c:v>
                </c:pt>
                <c:pt idx="19">
                  <c:v>0.10727393427853384</c:v>
                </c:pt>
              </c:numCache>
            </c:numRef>
          </c:xVal>
          <c:yVal>
            <c:numRef>
              <c:f>'Run 1 (Ty)'!$G$202:$G$221</c:f>
              <c:numCache>
                <c:formatCode>General</c:formatCode>
                <c:ptCount val="20"/>
                <c:pt idx="0">
                  <c:v>0.01</c:v>
                </c:pt>
                <c:pt idx="1">
                  <c:v>9.7000000000000003E-3</c:v>
                </c:pt>
                <c:pt idx="2">
                  <c:v>1.32E-2</c:v>
                </c:pt>
                <c:pt idx="3">
                  <c:v>1.0999999999999999E-2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1.2500000000000001E-2</c:v>
                </c:pt>
                <c:pt idx="8">
                  <c:v>1.2E-2</c:v>
                </c:pt>
                <c:pt idx="9">
                  <c:v>1.2E-2</c:v>
                </c:pt>
                <c:pt idx="10">
                  <c:v>1.2E-2</c:v>
                </c:pt>
                <c:pt idx="11">
                  <c:v>1.2999999999999999E-2</c:v>
                </c:pt>
                <c:pt idx="12">
                  <c:v>1.41E-2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1.72E-2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1.7999999999999999E-2</c:v>
                </c:pt>
                <c:pt idx="1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975-434F-A289-C7C240FB186B}"/>
            </c:ext>
          </c:extLst>
        </c:ser>
        <c:ser>
          <c:idx val="11"/>
          <c:order val="26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(Ty)'!$I$222:$I$241</c:f>
              <c:numCache>
                <c:formatCode>General</c:formatCode>
                <c:ptCount val="20"/>
                <c:pt idx="0">
                  <c:v>5.4618860204710649E-3</c:v>
                </c:pt>
                <c:pt idx="1">
                  <c:v>5.6698481943870541E-3</c:v>
                </c:pt>
                <c:pt idx="2">
                  <c:v>6.1609640774134113E-3</c:v>
                </c:pt>
                <c:pt idx="3">
                  <c:v>6.6344675287726166E-3</c:v>
                </c:pt>
                <c:pt idx="4">
                  <c:v>7.259708852956518E-3</c:v>
                </c:pt>
                <c:pt idx="5">
                  <c:v>7.9045948124614723E-3</c:v>
                </c:pt>
                <c:pt idx="6">
                  <c:v>9.2512684337806433E-3</c:v>
                </c:pt>
                <c:pt idx="7">
                  <c:v>1.1479241039675391E-2</c:v>
                </c:pt>
                <c:pt idx="8">
                  <c:v>1.1820651253530955E-2</c:v>
                </c:pt>
                <c:pt idx="9">
                  <c:v>1.2042838853024259E-2</c:v>
                </c:pt>
                <c:pt idx="10">
                  <c:v>1.229686430976203E-2</c:v>
                </c:pt>
                <c:pt idx="11">
                  <c:v>1.3372577443894244E-2</c:v>
                </c:pt>
                <c:pt idx="12">
                  <c:v>2.7873027915704195E-2</c:v>
                </c:pt>
                <c:pt idx="13">
                  <c:v>3.3613325836759855E-2</c:v>
                </c:pt>
                <c:pt idx="14">
                  <c:v>3.4351693164344312E-2</c:v>
                </c:pt>
                <c:pt idx="15">
                  <c:v>3.5666528928419011E-2</c:v>
                </c:pt>
                <c:pt idx="16">
                  <c:v>3.7087716683714599E-2</c:v>
                </c:pt>
                <c:pt idx="17">
                  <c:v>4.0009348136807954E-2</c:v>
                </c:pt>
                <c:pt idx="18">
                  <c:v>5.406813301450316E-2</c:v>
                </c:pt>
                <c:pt idx="19">
                  <c:v>7.138183074453168E-2</c:v>
                </c:pt>
              </c:numCache>
            </c:numRef>
          </c:xVal>
          <c:yVal>
            <c:numRef>
              <c:f>'Run 1 (Ty)'!$G$222:$G$241</c:f>
              <c:numCache>
                <c:formatCode>General</c:formatCode>
                <c:ptCount val="20"/>
                <c:pt idx="0">
                  <c:v>8.9999999999999993E-3</c:v>
                </c:pt>
                <c:pt idx="1">
                  <c:v>8.9999999999999993E-3</c:v>
                </c:pt>
                <c:pt idx="2">
                  <c:v>9.1999999999999998E-3</c:v>
                </c:pt>
                <c:pt idx="3">
                  <c:v>0.01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1.0999999999999999E-2</c:v>
                </c:pt>
                <c:pt idx="7">
                  <c:v>1.2E-2</c:v>
                </c:pt>
                <c:pt idx="8">
                  <c:v>1.4E-2</c:v>
                </c:pt>
                <c:pt idx="9">
                  <c:v>1.0999999999999999E-2</c:v>
                </c:pt>
                <c:pt idx="10">
                  <c:v>0.01</c:v>
                </c:pt>
                <c:pt idx="11">
                  <c:v>1.18E-2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1.2999999999999999E-2</c:v>
                </c:pt>
                <c:pt idx="16">
                  <c:v>1.43E-2</c:v>
                </c:pt>
                <c:pt idx="17">
                  <c:v>1.4E-2</c:v>
                </c:pt>
                <c:pt idx="18">
                  <c:v>1.4999999999999999E-2</c:v>
                </c:pt>
                <c:pt idx="19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975-434F-A289-C7C240FB1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2"/>
                <c:order val="0"/>
                <c:tx>
                  <c:strRef>
                    <c:extLst>
                      <c:ext uri="{02D57815-91ED-43cb-92C2-25804820EDAC}">
                        <c15:formulaRef>
                          <c15:sqref>'Run 1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1 (Alex)'!$I$2:$I$22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2.0071404934198105E-2</c:v>
                      </c:pt>
                      <c:pt idx="1">
                        <c:v>2.0079170132167607E-2</c:v>
                      </c:pt>
                      <c:pt idx="2">
                        <c:v>2.0368564430407816E-2</c:v>
                      </c:pt>
                      <c:pt idx="3">
                        <c:v>2.0697291144450066E-2</c:v>
                      </c:pt>
                      <c:pt idx="4">
                        <c:v>2.1269890090375086E-2</c:v>
                      </c:pt>
                      <c:pt idx="5">
                        <c:v>2.1797473395897195E-2</c:v>
                      </c:pt>
                      <c:pt idx="6">
                        <c:v>2.2457402684203858E-2</c:v>
                      </c:pt>
                      <c:pt idx="7">
                        <c:v>2.3188681762549134E-2</c:v>
                      </c:pt>
                      <c:pt idx="8">
                        <c:v>2.3724536691995275E-2</c:v>
                      </c:pt>
                      <c:pt idx="9">
                        <c:v>2.4500437523889938E-2</c:v>
                      </c:pt>
                      <c:pt idx="10">
                        <c:v>2.5208533547427719E-2</c:v>
                      </c:pt>
                      <c:pt idx="11">
                        <c:v>2.5966990818666252E-2</c:v>
                      </c:pt>
                      <c:pt idx="12">
                        <c:v>2.707820190201209E-2</c:v>
                      </c:pt>
                      <c:pt idx="13">
                        <c:v>2.839350264503462E-2</c:v>
                      </c:pt>
                      <c:pt idx="14">
                        <c:v>3.0194015722050025E-2</c:v>
                      </c:pt>
                      <c:pt idx="15">
                        <c:v>3.2394436494494784E-2</c:v>
                      </c:pt>
                      <c:pt idx="16">
                        <c:v>3.6067093786316715E-2</c:v>
                      </c:pt>
                      <c:pt idx="17">
                        <c:v>4.1816097491722888E-2</c:v>
                      </c:pt>
                      <c:pt idx="18">
                        <c:v>5.2461171056001087E-2</c:v>
                      </c:pt>
                      <c:pt idx="19">
                        <c:v>7.8521287980750851E-2</c:v>
                      </c:pt>
                      <c:pt idx="20">
                        <c:v>0.2006713407531488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1 (Alex)'!$G$2:$G$22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4.3216000000000001</c:v>
                      </c:pt>
                      <c:pt idx="1">
                        <c:v>4.4128999999999996</c:v>
                      </c:pt>
                      <c:pt idx="2">
                        <c:v>4.6538000000000004</c:v>
                      </c:pt>
                      <c:pt idx="3">
                        <c:v>4.3974000000000002</c:v>
                      </c:pt>
                      <c:pt idx="4">
                        <c:v>4.5269000000000004</c:v>
                      </c:pt>
                      <c:pt idx="5">
                        <c:v>4.4931999999999999</c:v>
                      </c:pt>
                      <c:pt idx="6">
                        <c:v>4.7945000000000002</c:v>
                      </c:pt>
                      <c:pt idx="7">
                        <c:v>4.6647999999999996</c:v>
                      </c:pt>
                      <c:pt idx="8">
                        <c:v>4.8502999999999998</c:v>
                      </c:pt>
                      <c:pt idx="9">
                        <c:v>4.8861999999999997</c:v>
                      </c:pt>
                      <c:pt idx="10">
                        <c:v>4.8863000000000003</c:v>
                      </c:pt>
                      <c:pt idx="11">
                        <c:v>5.0194999999999999</c:v>
                      </c:pt>
                      <c:pt idx="12">
                        <c:v>4.9855</c:v>
                      </c:pt>
                      <c:pt idx="13">
                        <c:v>4.9032999999999998</c:v>
                      </c:pt>
                      <c:pt idx="14">
                        <c:v>4.9217000000000004</c:v>
                      </c:pt>
                      <c:pt idx="15">
                        <c:v>4.9562999999999997</c:v>
                      </c:pt>
                      <c:pt idx="16">
                        <c:v>5.0934999999999997</c:v>
                      </c:pt>
                      <c:pt idx="17">
                        <c:v>5.0377000000000001</c:v>
                      </c:pt>
                      <c:pt idx="18">
                        <c:v>5.2694000000000001</c:v>
                      </c:pt>
                      <c:pt idx="19">
                        <c:v>5.4040999999999997</c:v>
                      </c:pt>
                      <c:pt idx="20">
                        <c:v>4.5515999999999996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7-9975-434F-A289-C7C240FB186B}"/>
                  </c:ext>
                </c:extLst>
              </c15:ser>
            </c15:filteredScatterSeries>
          </c:ext>
        </c:extLst>
      </c:scatterChart>
      <c:valAx>
        <c:axId val="1231546240"/>
        <c:scaling>
          <c:logBase val="2"/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3650514941250457"/>
              <c:y val="0.892570081007692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At val="0.1"/>
        <c:crossBetween val="midCat"/>
      </c:valAx>
      <c:valAx>
        <c:axId val="1231545280"/>
        <c:scaling>
          <c:logBase val="2"/>
          <c:orientation val="minMax"/>
          <c:max val="0.2"/>
          <c:min val="2.0000000000000006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DCT Time [s]</a:t>
                </a:r>
              </a:p>
            </c:rich>
          </c:tx>
          <c:layout>
            <c:manualLayout>
              <c:xMode val="edge"/>
              <c:yMode val="edge"/>
              <c:x val="0.14481169341024649"/>
              <c:y val="0.41476460150904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At val="5"/>
        <c:crossBetween val="midCat"/>
      </c:valAx>
    </c:plotArea>
    <c:legend>
      <c:legendPos val="r"/>
      <c:layout>
        <c:manualLayout>
          <c:xMode val="edge"/>
          <c:yMode val="edge"/>
          <c:x val="3.1047952459132597E-2"/>
          <c:y val="4.3693361224015487E-2"/>
          <c:w val="0.14512584545444498"/>
          <c:h val="0.6248954949745753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QFT</a:t>
            </a:r>
            <a:r>
              <a:rPr lang="en-CA" baseline="0"/>
              <a:t> Time Vs. Compression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034607233102114"/>
          <c:y val="0.12039579559597302"/>
          <c:w val="0.71376497936745364"/>
          <c:h val="0.76347189872231636"/>
        </c:manualLayout>
      </c:layout>
      <c:scatterChart>
        <c:scatterStyle val="lineMarker"/>
        <c:varyColors val="0"/>
        <c:ser>
          <c:idx val="15"/>
          <c:order val="0"/>
          <c:tx>
            <c:strRef>
              <c:f>'Run 1 (Ty)'!$A$2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(Ty)'!$H$2:$H$21</c:f>
              <c:numCache>
                <c:formatCode>General</c:formatCode>
                <c:ptCount val="20"/>
                <c:pt idx="0">
                  <c:v>3.4358211600596864E-2</c:v>
                </c:pt>
                <c:pt idx="1">
                  <c:v>3.5800082871671059E-2</c:v>
                </c:pt>
                <c:pt idx="2">
                  <c:v>3.9804748594654535E-2</c:v>
                </c:pt>
                <c:pt idx="3">
                  <c:v>4.3989049442771842E-2</c:v>
                </c:pt>
                <c:pt idx="4">
                  <c:v>4.8144608670867728E-2</c:v>
                </c:pt>
                <c:pt idx="5">
                  <c:v>5.2340885193993957E-2</c:v>
                </c:pt>
                <c:pt idx="6">
                  <c:v>5.6403034157020263E-2</c:v>
                </c:pt>
                <c:pt idx="7">
                  <c:v>6.0374167989978751E-2</c:v>
                </c:pt>
                <c:pt idx="8">
                  <c:v>6.38614845525768E-2</c:v>
                </c:pt>
                <c:pt idx="9">
                  <c:v>6.8201469175810089E-2</c:v>
                </c:pt>
                <c:pt idx="10">
                  <c:v>7.1743873843449185E-2</c:v>
                </c:pt>
                <c:pt idx="11">
                  <c:v>7.5616807141334508E-2</c:v>
                </c:pt>
                <c:pt idx="12">
                  <c:v>8.0488511734963936E-2</c:v>
                </c:pt>
                <c:pt idx="13">
                  <c:v>8.7657150795304575E-2</c:v>
                </c:pt>
                <c:pt idx="14">
                  <c:v>9.5771868181350042E-2</c:v>
                </c:pt>
                <c:pt idx="15">
                  <c:v>0.10594640166893006</c:v>
                </c:pt>
                <c:pt idx="16">
                  <c:v>0.12267881479139572</c:v>
                </c:pt>
                <c:pt idx="17">
                  <c:v>0.14658226210920378</c:v>
                </c:pt>
                <c:pt idx="18">
                  <c:v>0.19286345574868327</c:v>
                </c:pt>
                <c:pt idx="19">
                  <c:v>0.30021101139365719</c:v>
                </c:pt>
              </c:numCache>
            </c:numRef>
          </c:xVal>
          <c:yVal>
            <c:numRef>
              <c:f>'Run 1 (Ty)'!$F$2:$F$21</c:f>
              <c:numCache>
                <c:formatCode>General</c:formatCode>
                <c:ptCount val="20"/>
                <c:pt idx="0">
                  <c:v>38.045400000000001</c:v>
                </c:pt>
                <c:pt idx="1">
                  <c:v>37.829300000000003</c:v>
                </c:pt>
                <c:pt idx="2">
                  <c:v>38.643000000000001</c:v>
                </c:pt>
                <c:pt idx="3">
                  <c:v>38.135100000000001</c:v>
                </c:pt>
                <c:pt idx="4">
                  <c:v>38.595199999999998</c:v>
                </c:pt>
                <c:pt idx="5">
                  <c:v>38.2697</c:v>
                </c:pt>
                <c:pt idx="6">
                  <c:v>38.083100000000002</c:v>
                </c:pt>
                <c:pt idx="7">
                  <c:v>39.180799999999998</c:v>
                </c:pt>
                <c:pt idx="8">
                  <c:v>38.969799999999999</c:v>
                </c:pt>
                <c:pt idx="9">
                  <c:v>39.054299999999998</c:v>
                </c:pt>
                <c:pt idx="10">
                  <c:v>39.484299999999998</c:v>
                </c:pt>
                <c:pt idx="11">
                  <c:v>39.303800000000003</c:v>
                </c:pt>
                <c:pt idx="12">
                  <c:v>39.397199999999998</c:v>
                </c:pt>
                <c:pt idx="13">
                  <c:v>39.423699999999997</c:v>
                </c:pt>
                <c:pt idx="14">
                  <c:v>40.625100000000003</c:v>
                </c:pt>
                <c:pt idx="15">
                  <c:v>41.5169</c:v>
                </c:pt>
                <c:pt idx="16">
                  <c:v>42.575000000000003</c:v>
                </c:pt>
                <c:pt idx="17">
                  <c:v>42.13</c:v>
                </c:pt>
                <c:pt idx="18">
                  <c:v>42.751399999999997</c:v>
                </c:pt>
                <c:pt idx="19">
                  <c:v>44.884399999999999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FA5-4CEB-90FE-30B40D564C24}"/>
            </c:ext>
          </c:extLst>
        </c:ser>
        <c:ser>
          <c:idx val="16"/>
          <c:order val="1"/>
          <c:tx>
            <c:strRef>
              <c:f>'Run 1 (Ty)'!$A$22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(Ty)'!$H$22:$H$41</c:f>
              <c:numCache>
                <c:formatCode>General</c:formatCode>
                <c:ptCount val="20"/>
                <c:pt idx="0">
                  <c:v>3.6918903985734733E-2</c:v>
                </c:pt>
                <c:pt idx="1">
                  <c:v>4.0635909284978775E-2</c:v>
                </c:pt>
                <c:pt idx="2">
                  <c:v>5.1987844388075438E-2</c:v>
                </c:pt>
                <c:pt idx="3">
                  <c:v>6.2259838762337691E-2</c:v>
                </c:pt>
                <c:pt idx="4">
                  <c:v>7.2255569229223701E-2</c:v>
                </c:pt>
                <c:pt idx="5">
                  <c:v>8.142250797398097E-2</c:v>
                </c:pt>
                <c:pt idx="6">
                  <c:v>8.9559735791244932E-2</c:v>
                </c:pt>
                <c:pt idx="7">
                  <c:v>9.7295125197779844E-2</c:v>
                </c:pt>
                <c:pt idx="8">
                  <c:v>0.10359896526609237</c:v>
                </c:pt>
                <c:pt idx="9">
                  <c:v>0.11115855036793329</c:v>
                </c:pt>
                <c:pt idx="10">
                  <c:v>0.11761307984026922</c:v>
                </c:pt>
                <c:pt idx="11">
                  <c:v>0.12414295401461686</c:v>
                </c:pt>
                <c:pt idx="12">
                  <c:v>0.1326317904412688</c:v>
                </c:pt>
                <c:pt idx="13">
                  <c:v>0.14360700203430696</c:v>
                </c:pt>
                <c:pt idx="14">
                  <c:v>0.1557374990581912</c:v>
                </c:pt>
                <c:pt idx="15">
                  <c:v>0.17007810734108544</c:v>
                </c:pt>
                <c:pt idx="16">
                  <c:v>0.19230479443453799</c:v>
                </c:pt>
                <c:pt idx="17">
                  <c:v>0.22286962855061906</c:v>
                </c:pt>
                <c:pt idx="18">
                  <c:v>0.27694200969435162</c:v>
                </c:pt>
                <c:pt idx="19">
                  <c:v>0.39465554913730311</c:v>
                </c:pt>
              </c:numCache>
            </c:numRef>
          </c:xVal>
          <c:yVal>
            <c:numRef>
              <c:f>'Run 1 (Ty)'!$F$22:$F$41</c:f>
              <c:numCache>
                <c:formatCode>General</c:formatCode>
                <c:ptCount val="20"/>
                <c:pt idx="0">
                  <c:v>4.7777000000000003</c:v>
                </c:pt>
                <c:pt idx="1">
                  <c:v>4.7691999999999997</c:v>
                </c:pt>
                <c:pt idx="2">
                  <c:v>4.8456999999999999</c:v>
                </c:pt>
                <c:pt idx="3">
                  <c:v>5.1936999999999998</c:v>
                </c:pt>
                <c:pt idx="4">
                  <c:v>4.9095000000000004</c:v>
                </c:pt>
                <c:pt idx="5">
                  <c:v>4.7793000000000001</c:v>
                </c:pt>
                <c:pt idx="6">
                  <c:v>4.8198999999999996</c:v>
                </c:pt>
                <c:pt idx="7">
                  <c:v>4.8747999999999996</c:v>
                </c:pt>
                <c:pt idx="8">
                  <c:v>4.8992000000000004</c:v>
                </c:pt>
                <c:pt idx="9">
                  <c:v>5.0548999999999999</c:v>
                </c:pt>
                <c:pt idx="10">
                  <c:v>4.9145000000000003</c:v>
                </c:pt>
                <c:pt idx="11">
                  <c:v>5.0035999999999996</c:v>
                </c:pt>
                <c:pt idx="12">
                  <c:v>4.8810000000000002</c:v>
                </c:pt>
                <c:pt idx="13">
                  <c:v>4.9253</c:v>
                </c:pt>
                <c:pt idx="14">
                  <c:v>4.9103000000000003</c:v>
                </c:pt>
                <c:pt idx="15">
                  <c:v>5.0631000000000004</c:v>
                </c:pt>
                <c:pt idx="16">
                  <c:v>5.2343000000000002</c:v>
                </c:pt>
                <c:pt idx="17">
                  <c:v>5.0429000000000004</c:v>
                </c:pt>
                <c:pt idx="18">
                  <c:v>5.3623000000000003</c:v>
                </c:pt>
                <c:pt idx="19">
                  <c:v>5.36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FA5-4CEB-90FE-30B40D564C24}"/>
            </c:ext>
          </c:extLst>
        </c:ser>
        <c:ser>
          <c:idx val="17"/>
          <c:order val="2"/>
          <c:tx>
            <c:strRef>
              <c:f>'Run 1 (Ty)'!$A$42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(Ty)'!$H$42:$H$61</c:f>
              <c:numCache>
                <c:formatCode>General</c:formatCode>
                <c:ptCount val="20"/>
                <c:pt idx="0">
                  <c:v>0.26631116687578416</c:v>
                </c:pt>
                <c:pt idx="1">
                  <c:v>0.30426599749058975</c:v>
                </c:pt>
                <c:pt idx="2">
                  <c:v>0.37526139690506066</c:v>
                </c:pt>
                <c:pt idx="3">
                  <c:v>0.44322459222082811</c:v>
                </c:pt>
                <c:pt idx="4">
                  <c:v>0.51129234629861986</c:v>
                </c:pt>
                <c:pt idx="5">
                  <c:v>0.57026348808030114</c:v>
                </c:pt>
                <c:pt idx="6">
                  <c:v>0.61564199079882898</c:v>
                </c:pt>
                <c:pt idx="7">
                  <c:v>0.68527812630698459</c:v>
                </c:pt>
                <c:pt idx="8">
                  <c:v>0.73222501045587618</c:v>
                </c:pt>
                <c:pt idx="9">
                  <c:v>0.76840234211626923</c:v>
                </c:pt>
                <c:pt idx="10">
                  <c:v>0.79130071099958188</c:v>
                </c:pt>
                <c:pt idx="11">
                  <c:v>0.81838143036386446</c:v>
                </c:pt>
                <c:pt idx="12">
                  <c:v>0.91802593057298199</c:v>
                </c:pt>
                <c:pt idx="13">
                  <c:v>0.99592220828105393</c:v>
                </c:pt>
                <c:pt idx="14">
                  <c:v>1.0347135089920534</c:v>
                </c:pt>
                <c:pt idx="15">
                  <c:v>1.0823923044751149</c:v>
                </c:pt>
                <c:pt idx="16">
                  <c:v>1.165934755332497</c:v>
                </c:pt>
                <c:pt idx="17">
                  <c:v>1.2523002927645337</c:v>
                </c:pt>
                <c:pt idx="18">
                  <c:v>1.5096194061062316</c:v>
                </c:pt>
                <c:pt idx="19">
                  <c:v>1.9947720618987872</c:v>
                </c:pt>
              </c:numCache>
            </c:numRef>
          </c:xVal>
          <c:yVal>
            <c:numRef>
              <c:f>'Run 1 (Ty)'!$F$42:$F$61</c:f>
              <c:numCache>
                <c:formatCode>General</c:formatCode>
                <c:ptCount val="20"/>
                <c:pt idx="0">
                  <c:v>9.9914000000000005</c:v>
                </c:pt>
                <c:pt idx="1">
                  <c:v>9.8435000000000006</c:v>
                </c:pt>
                <c:pt idx="2">
                  <c:v>9.2530000000000001</c:v>
                </c:pt>
                <c:pt idx="3">
                  <c:v>9.3294999999999995</c:v>
                </c:pt>
                <c:pt idx="4">
                  <c:v>9.1229999999999993</c:v>
                </c:pt>
                <c:pt idx="5">
                  <c:v>9.3428000000000004</c:v>
                </c:pt>
                <c:pt idx="6">
                  <c:v>9.0734999999999992</c:v>
                </c:pt>
                <c:pt idx="7">
                  <c:v>9.6976999999999993</c:v>
                </c:pt>
                <c:pt idx="8">
                  <c:v>9.2306000000000008</c:v>
                </c:pt>
                <c:pt idx="9">
                  <c:v>9.5361999999999991</c:v>
                </c:pt>
                <c:pt idx="10">
                  <c:v>9.4710000000000001</c:v>
                </c:pt>
                <c:pt idx="11">
                  <c:v>9.5556999999999999</c:v>
                </c:pt>
                <c:pt idx="12">
                  <c:v>9.6005000000000003</c:v>
                </c:pt>
                <c:pt idx="13">
                  <c:v>9.6455000000000002</c:v>
                </c:pt>
                <c:pt idx="14">
                  <c:v>9.7981999999999996</c:v>
                </c:pt>
                <c:pt idx="15">
                  <c:v>9.6471</c:v>
                </c:pt>
                <c:pt idx="16">
                  <c:v>9.6264000000000003</c:v>
                </c:pt>
                <c:pt idx="17">
                  <c:v>9.7578999999999994</c:v>
                </c:pt>
                <c:pt idx="18">
                  <c:v>9.6010000000000009</c:v>
                </c:pt>
                <c:pt idx="19">
                  <c:v>9.6563999999999997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FA5-4CEB-90FE-30B40D564C24}"/>
            </c:ext>
          </c:extLst>
        </c:ser>
        <c:ser>
          <c:idx val="18"/>
          <c:order val="3"/>
          <c:tx>
            <c:strRef>
              <c:f>'Run 1 (Ty)'!$A$62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(Ty)'!$H$62:$H$81</c:f>
              <c:numCache>
                <c:formatCode>General</c:formatCode>
                <c:ptCount val="20"/>
                <c:pt idx="0">
                  <c:v>1.9797256304080201E-2</c:v>
                </c:pt>
                <c:pt idx="1">
                  <c:v>2.3113488169357547E-2</c:v>
                </c:pt>
                <c:pt idx="2">
                  <c:v>2.9963892537594759E-2</c:v>
                </c:pt>
                <c:pt idx="3">
                  <c:v>3.643731850551625E-2</c:v>
                </c:pt>
                <c:pt idx="4">
                  <c:v>4.3458541211396529E-2</c:v>
                </c:pt>
                <c:pt idx="5">
                  <c:v>5.0568118229850793E-2</c:v>
                </c:pt>
                <c:pt idx="6">
                  <c:v>5.747742547313734E-2</c:v>
                </c:pt>
                <c:pt idx="7">
                  <c:v>6.4433855016463357E-2</c:v>
                </c:pt>
                <c:pt idx="8">
                  <c:v>7.0388935683950729E-2</c:v>
                </c:pt>
                <c:pt idx="9">
                  <c:v>7.7451390402365539E-2</c:v>
                </c:pt>
                <c:pt idx="10">
                  <c:v>8.3700985445099574E-2</c:v>
                </c:pt>
                <c:pt idx="11">
                  <c:v>9.0303997738129596E-2</c:v>
                </c:pt>
                <c:pt idx="12">
                  <c:v>9.8998062095410871E-2</c:v>
                </c:pt>
                <c:pt idx="13">
                  <c:v>0.11021316950480353</c:v>
                </c:pt>
                <c:pt idx="14">
                  <c:v>0.12469149619192912</c:v>
                </c:pt>
                <c:pt idx="15">
                  <c:v>0.14202072203144236</c:v>
                </c:pt>
                <c:pt idx="16">
                  <c:v>0.16999369739236972</c:v>
                </c:pt>
                <c:pt idx="17">
                  <c:v>0.21035983766367636</c:v>
                </c:pt>
                <c:pt idx="18">
                  <c:v>0.2809843848478244</c:v>
                </c:pt>
                <c:pt idx="19">
                  <c:v>0.42485465715581577</c:v>
                </c:pt>
              </c:numCache>
            </c:numRef>
          </c:xVal>
          <c:yVal>
            <c:numRef>
              <c:f>'Run 1 (Ty)'!$F$62:$F$81</c:f>
              <c:numCache>
                <c:formatCode>General</c:formatCode>
                <c:ptCount val="20"/>
                <c:pt idx="0">
                  <c:v>9.4937000000000005</c:v>
                </c:pt>
                <c:pt idx="1">
                  <c:v>9.4162999999999997</c:v>
                </c:pt>
                <c:pt idx="2">
                  <c:v>9.4890000000000008</c:v>
                </c:pt>
                <c:pt idx="3">
                  <c:v>9.3581000000000003</c:v>
                </c:pt>
                <c:pt idx="4">
                  <c:v>9.5687999999999995</c:v>
                </c:pt>
                <c:pt idx="5">
                  <c:v>9.8368000000000002</c:v>
                </c:pt>
                <c:pt idx="6">
                  <c:v>9.8299000000000003</c:v>
                </c:pt>
                <c:pt idx="7">
                  <c:v>9.8945000000000007</c:v>
                </c:pt>
                <c:pt idx="8">
                  <c:v>10.0358</c:v>
                </c:pt>
                <c:pt idx="9">
                  <c:v>9.8363999999999994</c:v>
                </c:pt>
                <c:pt idx="10">
                  <c:v>9.8721999999999994</c:v>
                </c:pt>
                <c:pt idx="11">
                  <c:v>9.9332999999999991</c:v>
                </c:pt>
                <c:pt idx="12">
                  <c:v>10.619300000000001</c:v>
                </c:pt>
                <c:pt idx="13">
                  <c:v>10.068300000000001</c:v>
                </c:pt>
                <c:pt idx="14">
                  <c:v>10.2774</c:v>
                </c:pt>
                <c:pt idx="15">
                  <c:v>10.2773</c:v>
                </c:pt>
                <c:pt idx="16">
                  <c:v>10.418799999999999</c:v>
                </c:pt>
                <c:pt idx="17">
                  <c:v>11.2172</c:v>
                </c:pt>
                <c:pt idx="18">
                  <c:v>11.6632</c:v>
                </c:pt>
                <c:pt idx="19">
                  <c:v>12.664300000000001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FA5-4CEB-90FE-30B40D564C24}"/>
            </c:ext>
          </c:extLst>
        </c:ser>
        <c:ser>
          <c:idx val="19"/>
          <c:order val="4"/>
          <c:tx>
            <c:strRef>
              <c:f>'Run 1 (Ty)'!$A$82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(Ty)'!$H$82:$H$101</c:f>
              <c:numCache>
                <c:formatCode>General</c:formatCode>
                <c:ptCount val="20"/>
                <c:pt idx="0">
                  <c:v>2.9550697572228935E-2</c:v>
                </c:pt>
                <c:pt idx="1">
                  <c:v>3.5263100076897723E-2</c:v>
                </c:pt>
                <c:pt idx="2">
                  <c:v>4.7017466769196964E-2</c:v>
                </c:pt>
                <c:pt idx="3">
                  <c:v>5.7516360383547023E-2</c:v>
                </c:pt>
                <c:pt idx="4">
                  <c:v>6.7016106673362524E-2</c:v>
                </c:pt>
                <c:pt idx="5">
                  <c:v>7.5663177497737516E-2</c:v>
                </c:pt>
                <c:pt idx="6">
                  <c:v>8.3614506991415705E-2</c:v>
                </c:pt>
                <c:pt idx="7">
                  <c:v>9.1377515523401495E-2</c:v>
                </c:pt>
                <c:pt idx="8">
                  <c:v>9.766534318879698E-2</c:v>
                </c:pt>
                <c:pt idx="9">
                  <c:v>0.10488954452482958</c:v>
                </c:pt>
                <c:pt idx="10">
                  <c:v>0.11085304164508822</c:v>
                </c:pt>
                <c:pt idx="11">
                  <c:v>0.11706240224311189</c:v>
                </c:pt>
                <c:pt idx="12">
                  <c:v>0.12494049580724303</c:v>
                </c:pt>
                <c:pt idx="13">
                  <c:v>0.13487442653651593</c:v>
                </c:pt>
                <c:pt idx="14">
                  <c:v>0.14660263753969124</c:v>
                </c:pt>
                <c:pt idx="15">
                  <c:v>0.16007281743852103</c:v>
                </c:pt>
                <c:pt idx="16">
                  <c:v>0.18134785497193495</c:v>
                </c:pt>
                <c:pt idx="17">
                  <c:v>0.21037020762386024</c:v>
                </c:pt>
                <c:pt idx="18">
                  <c:v>0.26240433556702919</c:v>
                </c:pt>
                <c:pt idx="19">
                  <c:v>0.37368109937592525</c:v>
                </c:pt>
              </c:numCache>
            </c:numRef>
          </c:xVal>
          <c:yVal>
            <c:numRef>
              <c:f>'Run 1 (Ty)'!$F$82:$F$101</c:f>
              <c:numCache>
                <c:formatCode>General</c:formatCode>
                <c:ptCount val="20"/>
                <c:pt idx="0">
                  <c:v>18.303899999999999</c:v>
                </c:pt>
                <c:pt idx="1">
                  <c:v>18.434200000000001</c:v>
                </c:pt>
                <c:pt idx="2">
                  <c:v>18.118099999999998</c:v>
                </c:pt>
                <c:pt idx="3">
                  <c:v>18.415800000000001</c:v>
                </c:pt>
                <c:pt idx="4">
                  <c:v>18.487200000000001</c:v>
                </c:pt>
                <c:pt idx="5">
                  <c:v>21.1069</c:v>
                </c:pt>
                <c:pt idx="6">
                  <c:v>22.244599999999998</c:v>
                </c:pt>
                <c:pt idx="7">
                  <c:v>22.038399999999999</c:v>
                </c:pt>
                <c:pt idx="8">
                  <c:v>22.25</c:v>
                </c:pt>
                <c:pt idx="9">
                  <c:v>22.295500000000001</c:v>
                </c:pt>
                <c:pt idx="10">
                  <c:v>22.101700000000001</c:v>
                </c:pt>
                <c:pt idx="11">
                  <c:v>23.639800000000001</c:v>
                </c:pt>
                <c:pt idx="12">
                  <c:v>22.977799999999998</c:v>
                </c:pt>
                <c:pt idx="13">
                  <c:v>23.3065</c:v>
                </c:pt>
                <c:pt idx="14">
                  <c:v>23.4937</c:v>
                </c:pt>
                <c:pt idx="15">
                  <c:v>24.128399999999999</c:v>
                </c:pt>
                <c:pt idx="16">
                  <c:v>23.767900000000001</c:v>
                </c:pt>
                <c:pt idx="17">
                  <c:v>24.241099999999999</c:v>
                </c:pt>
                <c:pt idx="18">
                  <c:v>24.463799999999999</c:v>
                </c:pt>
                <c:pt idx="19">
                  <c:v>24.611000000000001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FA5-4CEB-90FE-30B40D564C24}"/>
            </c:ext>
          </c:extLst>
        </c:ser>
        <c:ser>
          <c:idx val="20"/>
          <c:order val="5"/>
          <c:tx>
            <c:strRef>
              <c:f>'Run 1 (Ty)'!$A$102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(Ty)'!$H$102:$H$121</c:f>
              <c:numCache>
                <c:formatCode>General</c:formatCode>
                <c:ptCount val="20"/>
                <c:pt idx="0">
                  <c:v>0.21991327363856505</c:v>
                </c:pt>
                <c:pt idx="1">
                  <c:v>0.24984513149743764</c:v>
                </c:pt>
                <c:pt idx="2">
                  <c:v>0.31176437461282874</c:v>
                </c:pt>
                <c:pt idx="3">
                  <c:v>0.36951624711381426</c:v>
                </c:pt>
                <c:pt idx="4">
                  <c:v>0.4271554879765726</c:v>
                </c:pt>
                <c:pt idx="5">
                  <c:v>0.48724446697077206</c:v>
                </c:pt>
                <c:pt idx="6">
                  <c:v>0.52908712057216878</c:v>
                </c:pt>
                <c:pt idx="7">
                  <c:v>0.57619530326068591</c:v>
                </c:pt>
                <c:pt idx="8">
                  <c:v>0.61006926845750975</c:v>
                </c:pt>
                <c:pt idx="9">
                  <c:v>0.65323534380807569</c:v>
                </c:pt>
                <c:pt idx="10">
                  <c:v>0.68429351804922012</c:v>
                </c:pt>
                <c:pt idx="11">
                  <c:v>0.72140564284507513</c:v>
                </c:pt>
                <c:pt idx="12">
                  <c:v>0.77459593399785998</c:v>
                </c:pt>
                <c:pt idx="13">
                  <c:v>0.84580728726699328</c:v>
                </c:pt>
                <c:pt idx="14">
                  <c:v>0.89615362955454192</c:v>
                </c:pt>
                <c:pt idx="15">
                  <c:v>0.96440840232021174</c:v>
                </c:pt>
                <c:pt idx="16">
                  <c:v>1.075491355521766</c:v>
                </c:pt>
                <c:pt idx="17">
                  <c:v>1.1818156220082221</c:v>
                </c:pt>
                <c:pt idx="18">
                  <c:v>1.3660246663287718</c:v>
                </c:pt>
                <c:pt idx="19">
                  <c:v>1.8014022638959284</c:v>
                </c:pt>
              </c:numCache>
            </c:numRef>
          </c:xVal>
          <c:yVal>
            <c:numRef>
              <c:f>'Run 1 (Ty)'!$F$102:$F$121</c:f>
              <c:numCache>
                <c:formatCode>General</c:formatCode>
                <c:ptCount val="20"/>
                <c:pt idx="0">
                  <c:v>22.854500000000002</c:v>
                </c:pt>
                <c:pt idx="1">
                  <c:v>23.228400000000001</c:v>
                </c:pt>
                <c:pt idx="2">
                  <c:v>22.927499999999998</c:v>
                </c:pt>
                <c:pt idx="3">
                  <c:v>22.987500000000001</c:v>
                </c:pt>
                <c:pt idx="4">
                  <c:v>23.023299999999999</c:v>
                </c:pt>
                <c:pt idx="5">
                  <c:v>23.0581</c:v>
                </c:pt>
                <c:pt idx="6">
                  <c:v>23.392299999999999</c:v>
                </c:pt>
                <c:pt idx="7">
                  <c:v>22.932099999999998</c:v>
                </c:pt>
                <c:pt idx="8">
                  <c:v>23.1325</c:v>
                </c:pt>
                <c:pt idx="9">
                  <c:v>23.067</c:v>
                </c:pt>
                <c:pt idx="10">
                  <c:v>23.1462</c:v>
                </c:pt>
                <c:pt idx="11">
                  <c:v>24.938700000000001</c:v>
                </c:pt>
                <c:pt idx="12">
                  <c:v>23.857099999999999</c:v>
                </c:pt>
                <c:pt idx="13">
                  <c:v>23.194299999999998</c:v>
                </c:pt>
                <c:pt idx="14">
                  <c:v>24.2986</c:v>
                </c:pt>
                <c:pt idx="15">
                  <c:v>24.7912</c:v>
                </c:pt>
                <c:pt idx="16">
                  <c:v>24.6646</c:v>
                </c:pt>
                <c:pt idx="17">
                  <c:v>23.6416</c:v>
                </c:pt>
                <c:pt idx="18">
                  <c:v>24.997</c:v>
                </c:pt>
                <c:pt idx="19">
                  <c:v>25.723299999999998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FA5-4CEB-90FE-30B40D564C24}"/>
            </c:ext>
          </c:extLst>
        </c:ser>
        <c:ser>
          <c:idx val="21"/>
          <c:order val="6"/>
          <c:tx>
            <c:strRef>
              <c:f>'Run 1 (Ty)'!$A$122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(Ty)'!$H$122:$H$141</c:f>
              <c:numCache>
                <c:formatCode>General</c:formatCode>
                <c:ptCount val="20"/>
                <c:pt idx="0">
                  <c:v>9.4763221569305209E-2</c:v>
                </c:pt>
                <c:pt idx="1">
                  <c:v>0.10565157276183892</c:v>
                </c:pt>
                <c:pt idx="2">
                  <c:v>0.12706533010715518</c:v>
                </c:pt>
                <c:pt idx="3">
                  <c:v>0.14643968199101279</c:v>
                </c:pt>
                <c:pt idx="4">
                  <c:v>0.16356723124783962</c:v>
                </c:pt>
                <c:pt idx="5">
                  <c:v>0.18069478050466642</c:v>
                </c:pt>
                <c:pt idx="6">
                  <c:v>0.19657794676806081</c:v>
                </c:pt>
                <c:pt idx="7">
                  <c:v>0.21183892153473902</c:v>
                </c:pt>
                <c:pt idx="8">
                  <c:v>0.22533702039405459</c:v>
                </c:pt>
                <c:pt idx="9">
                  <c:v>0.24137573453162806</c:v>
                </c:pt>
                <c:pt idx="10">
                  <c:v>0.2546491531282406</c:v>
                </c:pt>
                <c:pt idx="11">
                  <c:v>0.26866574490148631</c:v>
                </c:pt>
                <c:pt idx="12">
                  <c:v>0.28662288282060144</c:v>
                </c:pt>
                <c:pt idx="13">
                  <c:v>0.31277220877981332</c:v>
                </c:pt>
                <c:pt idx="14">
                  <c:v>0.34260283442792944</c:v>
                </c:pt>
                <c:pt idx="15">
                  <c:v>0.37882820601451778</c:v>
                </c:pt>
                <c:pt idx="16">
                  <c:v>0.4402868994123747</c:v>
                </c:pt>
                <c:pt idx="17">
                  <c:v>0.53326996197718635</c:v>
                </c:pt>
                <c:pt idx="18">
                  <c:v>0.72571724853093666</c:v>
                </c:pt>
                <c:pt idx="19">
                  <c:v>1.2004320774282753</c:v>
                </c:pt>
              </c:numCache>
            </c:numRef>
          </c:xVal>
          <c:yVal>
            <c:numRef>
              <c:f>'Run 1 (Ty)'!$F$122:$F$141</c:f>
              <c:numCache>
                <c:formatCode>General</c:formatCode>
                <c:ptCount val="20"/>
                <c:pt idx="0">
                  <c:v>22.936499999999999</c:v>
                </c:pt>
                <c:pt idx="1">
                  <c:v>22.6068</c:v>
                </c:pt>
                <c:pt idx="2">
                  <c:v>22.84</c:v>
                </c:pt>
                <c:pt idx="3">
                  <c:v>22.5154</c:v>
                </c:pt>
                <c:pt idx="4">
                  <c:v>22.4665</c:v>
                </c:pt>
                <c:pt idx="5">
                  <c:v>22.628499999999999</c:v>
                </c:pt>
                <c:pt idx="6">
                  <c:v>23.150099999999998</c:v>
                </c:pt>
                <c:pt idx="7">
                  <c:v>21.8583</c:v>
                </c:pt>
                <c:pt idx="8">
                  <c:v>21.7925</c:v>
                </c:pt>
                <c:pt idx="9">
                  <c:v>21.659099999999999</c:v>
                </c:pt>
                <c:pt idx="10">
                  <c:v>22.2987</c:v>
                </c:pt>
                <c:pt idx="11">
                  <c:v>22.059200000000001</c:v>
                </c:pt>
                <c:pt idx="12">
                  <c:v>22.333300000000001</c:v>
                </c:pt>
                <c:pt idx="13">
                  <c:v>22.9114</c:v>
                </c:pt>
                <c:pt idx="14">
                  <c:v>23.6127</c:v>
                </c:pt>
                <c:pt idx="15">
                  <c:v>22.992100000000001</c:v>
                </c:pt>
                <c:pt idx="16">
                  <c:v>22.8522</c:v>
                </c:pt>
                <c:pt idx="17">
                  <c:v>23.391100000000002</c:v>
                </c:pt>
                <c:pt idx="18">
                  <c:v>23.257000000000001</c:v>
                </c:pt>
                <c:pt idx="19">
                  <c:v>24.312799999999999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FA5-4CEB-90FE-30B40D564C24}"/>
            </c:ext>
          </c:extLst>
        </c:ser>
        <c:ser>
          <c:idx val="22"/>
          <c:order val="7"/>
          <c:tx>
            <c:strRef>
              <c:f>'Run 1 (Ty)'!$A$142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(Ty)'!$H$142:$H$161</c:f>
              <c:numCache>
                <c:formatCode>General</c:formatCode>
                <c:ptCount val="20"/>
                <c:pt idx="0">
                  <c:v>3.556072611861081E-2</c:v>
                </c:pt>
                <c:pt idx="1">
                  <c:v>4.2144258709241607E-2</c:v>
                </c:pt>
                <c:pt idx="2">
                  <c:v>5.608869540975521E-2</c:v>
                </c:pt>
                <c:pt idx="3">
                  <c:v>6.8494472620438979E-2</c:v>
                </c:pt>
                <c:pt idx="4">
                  <c:v>7.9254366683465041E-2</c:v>
                </c:pt>
                <c:pt idx="5">
                  <c:v>8.9638977944093576E-2</c:v>
                </c:pt>
                <c:pt idx="6">
                  <c:v>9.9508915647148394E-2</c:v>
                </c:pt>
                <c:pt idx="7">
                  <c:v>0.10894995871889174</c:v>
                </c:pt>
                <c:pt idx="8">
                  <c:v>0.11631086282877454</c:v>
                </c:pt>
                <c:pt idx="9">
                  <c:v>0.12440088781188681</c:v>
                </c:pt>
                <c:pt idx="10">
                  <c:v>0.13134361965624095</c:v>
                </c:pt>
                <c:pt idx="11">
                  <c:v>0.13862410602275285</c:v>
                </c:pt>
                <c:pt idx="12">
                  <c:v>0.14765769919475033</c:v>
                </c:pt>
                <c:pt idx="13">
                  <c:v>0.15911990821654889</c:v>
                </c:pt>
                <c:pt idx="14">
                  <c:v>0.17209397081372035</c:v>
                </c:pt>
                <c:pt idx="15">
                  <c:v>0.18726611839636298</c:v>
                </c:pt>
                <c:pt idx="16">
                  <c:v>0.21042106730429003</c:v>
                </c:pt>
                <c:pt idx="17">
                  <c:v>0.24282405669987026</c:v>
                </c:pt>
                <c:pt idx="18">
                  <c:v>0.30442940930486906</c:v>
                </c:pt>
                <c:pt idx="19">
                  <c:v>0.43606789402013663</c:v>
                </c:pt>
              </c:numCache>
            </c:numRef>
          </c:xVal>
          <c:yVal>
            <c:numRef>
              <c:f>'Run 1 (Ty)'!$F$142:$F$161</c:f>
              <c:numCache>
                <c:formatCode>General</c:formatCode>
                <c:ptCount val="20"/>
                <c:pt idx="0">
                  <c:v>21.663699999999999</c:v>
                </c:pt>
                <c:pt idx="1">
                  <c:v>21.7073</c:v>
                </c:pt>
                <c:pt idx="2">
                  <c:v>21.964400000000001</c:v>
                </c:pt>
                <c:pt idx="3">
                  <c:v>22.267199999999999</c:v>
                </c:pt>
                <c:pt idx="4">
                  <c:v>22.766400000000001</c:v>
                </c:pt>
                <c:pt idx="5">
                  <c:v>22.2379</c:v>
                </c:pt>
                <c:pt idx="6">
                  <c:v>22.867599999999999</c:v>
                </c:pt>
                <c:pt idx="7">
                  <c:v>22.572900000000001</c:v>
                </c:pt>
                <c:pt idx="8">
                  <c:v>22.683299999999999</c:v>
                </c:pt>
                <c:pt idx="9">
                  <c:v>22.8749</c:v>
                </c:pt>
                <c:pt idx="10">
                  <c:v>22.591100000000001</c:v>
                </c:pt>
                <c:pt idx="11">
                  <c:v>24.452300000000001</c:v>
                </c:pt>
                <c:pt idx="12">
                  <c:v>23.23</c:v>
                </c:pt>
                <c:pt idx="13">
                  <c:v>23.218900000000001</c:v>
                </c:pt>
                <c:pt idx="14">
                  <c:v>24.0716</c:v>
                </c:pt>
                <c:pt idx="15">
                  <c:v>24.047599999999999</c:v>
                </c:pt>
                <c:pt idx="16">
                  <c:v>23.469200000000001</c:v>
                </c:pt>
                <c:pt idx="17">
                  <c:v>23.750399999999999</c:v>
                </c:pt>
                <c:pt idx="18">
                  <c:v>23.8188</c:v>
                </c:pt>
                <c:pt idx="19">
                  <c:v>24.769400000000001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FA5-4CEB-90FE-30B40D564C24}"/>
            </c:ext>
          </c:extLst>
        </c:ser>
        <c:ser>
          <c:idx val="23"/>
          <c:order val="8"/>
          <c:tx>
            <c:strRef>
              <c:f>'Run 1 (Ty)'!$A$162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(Ty)'!$H$162:$H$181</c:f>
              <c:numCache>
                <c:formatCode>General</c:formatCode>
                <c:ptCount val="20"/>
                <c:pt idx="0">
                  <c:v>3.1215802912539631E-2</c:v>
                </c:pt>
                <c:pt idx="1">
                  <c:v>3.7767614130587275E-2</c:v>
                </c:pt>
                <c:pt idx="2">
                  <c:v>5.0459702385962944E-2</c:v>
                </c:pt>
                <c:pt idx="3">
                  <c:v>6.173480363272444E-2</c:v>
                </c:pt>
                <c:pt idx="4">
                  <c:v>7.2121365171114032E-2</c:v>
                </c:pt>
                <c:pt idx="5">
                  <c:v>8.182515409149152E-2</c:v>
                </c:pt>
                <c:pt idx="6">
                  <c:v>9.1023878335531286E-2</c:v>
                </c:pt>
                <c:pt idx="7">
                  <c:v>9.9731567477576055E-2</c:v>
                </c:pt>
                <c:pt idx="8">
                  <c:v>0.10694744521451219</c:v>
                </c:pt>
                <c:pt idx="9">
                  <c:v>0.11497236173854485</c:v>
                </c:pt>
                <c:pt idx="10">
                  <c:v>0.12224903429763274</c:v>
                </c:pt>
                <c:pt idx="11">
                  <c:v>0.12976888614532767</c:v>
                </c:pt>
                <c:pt idx="12">
                  <c:v>0.1391172591823564</c:v>
                </c:pt>
                <c:pt idx="13">
                  <c:v>0.15094419035326467</c:v>
                </c:pt>
                <c:pt idx="14">
                  <c:v>0.16452949484179316</c:v>
                </c:pt>
                <c:pt idx="15">
                  <c:v>0.18043435562165042</c:v>
                </c:pt>
                <c:pt idx="16">
                  <c:v>0.20543973362514847</c:v>
                </c:pt>
                <c:pt idx="17">
                  <c:v>0.23963448282312444</c:v>
                </c:pt>
                <c:pt idx="18">
                  <c:v>0.30076601475911219</c:v>
                </c:pt>
                <c:pt idx="19">
                  <c:v>0.43211556628038567</c:v>
                </c:pt>
              </c:numCache>
            </c:numRef>
          </c:xVal>
          <c:yVal>
            <c:numRef>
              <c:f>'Run 1 (Ty)'!$F$162:$F$181</c:f>
              <c:numCache>
                <c:formatCode>General</c:formatCode>
                <c:ptCount val="20"/>
                <c:pt idx="0">
                  <c:v>23.299900000000001</c:v>
                </c:pt>
                <c:pt idx="1">
                  <c:v>22.921500000000002</c:v>
                </c:pt>
                <c:pt idx="2">
                  <c:v>22.216799999999999</c:v>
                </c:pt>
                <c:pt idx="3">
                  <c:v>23.722799999999999</c:v>
                </c:pt>
                <c:pt idx="4">
                  <c:v>24.952500000000001</c:v>
                </c:pt>
                <c:pt idx="5">
                  <c:v>25.043700000000001</c:v>
                </c:pt>
                <c:pt idx="6">
                  <c:v>24.6645</c:v>
                </c:pt>
                <c:pt idx="7">
                  <c:v>24.1084</c:v>
                </c:pt>
                <c:pt idx="8">
                  <c:v>24.549600000000002</c:v>
                </c:pt>
                <c:pt idx="9">
                  <c:v>24.206299999999999</c:v>
                </c:pt>
                <c:pt idx="10">
                  <c:v>24.867000000000001</c:v>
                </c:pt>
                <c:pt idx="11">
                  <c:v>24.047699999999999</c:v>
                </c:pt>
                <c:pt idx="12">
                  <c:v>23.488299999999999</c:v>
                </c:pt>
                <c:pt idx="13">
                  <c:v>24.408200000000001</c:v>
                </c:pt>
                <c:pt idx="14">
                  <c:v>24.974799999999998</c:v>
                </c:pt>
                <c:pt idx="15">
                  <c:v>24.35</c:v>
                </c:pt>
                <c:pt idx="16">
                  <c:v>25.021599999999999</c:v>
                </c:pt>
                <c:pt idx="17">
                  <c:v>25.122800000000002</c:v>
                </c:pt>
                <c:pt idx="18">
                  <c:v>26.0654</c:v>
                </c:pt>
                <c:pt idx="19">
                  <c:v>26.0672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FA5-4CEB-90FE-30B40D564C24}"/>
            </c:ext>
          </c:extLst>
        </c:ser>
        <c:ser>
          <c:idx val="24"/>
          <c:order val="9"/>
          <c:tx>
            <c:strRef>
              <c:f>'Run 1 (Ty)'!$A$182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(Ty)'!$H$182:$H$201</c:f>
              <c:numCache>
                <c:formatCode>General</c:formatCode>
                <c:ptCount val="20"/>
                <c:pt idx="0">
                  <c:v>0.55493230174081243</c:v>
                </c:pt>
                <c:pt idx="1">
                  <c:v>0.60386847195357829</c:v>
                </c:pt>
                <c:pt idx="2">
                  <c:v>0.69032882011605412</c:v>
                </c:pt>
                <c:pt idx="3">
                  <c:v>0.7688588007736944</c:v>
                </c:pt>
                <c:pt idx="4">
                  <c:v>0.82901353965183744</c:v>
                </c:pt>
                <c:pt idx="5">
                  <c:v>0.89032882011605419</c:v>
                </c:pt>
                <c:pt idx="6">
                  <c:v>0.94410058027079302</c:v>
                </c:pt>
                <c:pt idx="7">
                  <c:v>0.98646034816247574</c:v>
                </c:pt>
                <c:pt idx="8">
                  <c:v>1.0286266924564795</c:v>
                </c:pt>
                <c:pt idx="9">
                  <c:v>1.0673114119922631</c:v>
                </c:pt>
                <c:pt idx="10">
                  <c:v>1.1003868471953577</c:v>
                </c:pt>
                <c:pt idx="11">
                  <c:v>1.1433268858800774</c:v>
                </c:pt>
                <c:pt idx="12">
                  <c:v>1.1930367504835588</c:v>
                </c:pt>
                <c:pt idx="13">
                  <c:v>1.2535783365570599</c:v>
                </c:pt>
                <c:pt idx="14">
                  <c:v>1.3272727272727274</c:v>
                </c:pt>
                <c:pt idx="15">
                  <c:v>1.409284332688588</c:v>
                </c:pt>
                <c:pt idx="16">
                  <c:v>1.507350096711799</c:v>
                </c:pt>
                <c:pt idx="17">
                  <c:v>1.6361702127659574</c:v>
                </c:pt>
                <c:pt idx="18">
                  <c:v>1.9050290135396517</c:v>
                </c:pt>
                <c:pt idx="19">
                  <c:v>2.4367504835589942</c:v>
                </c:pt>
              </c:numCache>
            </c:numRef>
          </c:xVal>
          <c:yVal>
            <c:numRef>
              <c:f>'Run 1 (Ty)'!$F$182:$F$201</c:f>
              <c:numCache>
                <c:formatCode>General</c:formatCode>
                <c:ptCount val="20"/>
                <c:pt idx="0">
                  <c:v>11.4353</c:v>
                </c:pt>
                <c:pt idx="1">
                  <c:v>11.1005</c:v>
                </c:pt>
                <c:pt idx="2">
                  <c:v>11.2506</c:v>
                </c:pt>
                <c:pt idx="3">
                  <c:v>11.391999999999999</c:v>
                </c:pt>
                <c:pt idx="4">
                  <c:v>12.261200000000001</c:v>
                </c:pt>
                <c:pt idx="5">
                  <c:v>11.930899999999999</c:v>
                </c:pt>
                <c:pt idx="6">
                  <c:v>11.8218</c:v>
                </c:pt>
                <c:pt idx="7">
                  <c:v>11.7996</c:v>
                </c:pt>
                <c:pt idx="8">
                  <c:v>12.575200000000001</c:v>
                </c:pt>
                <c:pt idx="9">
                  <c:v>11.7149</c:v>
                </c:pt>
                <c:pt idx="10">
                  <c:v>11.1029</c:v>
                </c:pt>
                <c:pt idx="11">
                  <c:v>11.2652</c:v>
                </c:pt>
                <c:pt idx="12">
                  <c:v>11.2135</c:v>
                </c:pt>
                <c:pt idx="13">
                  <c:v>11.5345</c:v>
                </c:pt>
                <c:pt idx="14">
                  <c:v>11.957100000000001</c:v>
                </c:pt>
                <c:pt idx="15">
                  <c:v>11.7834</c:v>
                </c:pt>
                <c:pt idx="16">
                  <c:v>11.681900000000001</c:v>
                </c:pt>
                <c:pt idx="17">
                  <c:v>11.8856</c:v>
                </c:pt>
                <c:pt idx="18">
                  <c:v>12.0947</c:v>
                </c:pt>
                <c:pt idx="19">
                  <c:v>11.803900000000001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FA5-4CEB-90FE-30B40D564C24}"/>
            </c:ext>
          </c:extLst>
        </c:ser>
        <c:ser>
          <c:idx val="25"/>
          <c:order val="10"/>
          <c:tx>
            <c:strRef>
              <c:f>'Run 1 (Ty)'!$A$202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(Ty)'!$H$202:$H$221</c:f>
              <c:numCache>
                <c:formatCode>General</c:formatCode>
                <c:ptCount val="20"/>
                <c:pt idx="0">
                  <c:v>1.3208646349146137E-2</c:v>
                </c:pt>
                <c:pt idx="1">
                  <c:v>1.5364814425936337E-2</c:v>
                </c:pt>
                <c:pt idx="2">
                  <c:v>1.9923047221638908E-2</c:v>
                </c:pt>
                <c:pt idx="3">
                  <c:v>2.3754428510462465E-2</c:v>
                </c:pt>
                <c:pt idx="4">
                  <c:v>2.7325687731586543E-2</c:v>
                </c:pt>
                <c:pt idx="5">
                  <c:v>3.0793981967579577E-2</c:v>
                </c:pt>
                <c:pt idx="6">
                  <c:v>3.349071621630776E-2</c:v>
                </c:pt>
                <c:pt idx="7">
                  <c:v>3.7824729208863116E-2</c:v>
                </c:pt>
                <c:pt idx="8">
                  <c:v>3.9678776342439867E-2</c:v>
                </c:pt>
                <c:pt idx="9">
                  <c:v>4.1796332549805928E-2</c:v>
                </c:pt>
                <c:pt idx="10">
                  <c:v>4.3364516369400433E-2</c:v>
                </c:pt>
                <c:pt idx="11">
                  <c:v>4.5123049931243782E-2</c:v>
                </c:pt>
                <c:pt idx="12">
                  <c:v>5.6123368309816221E-2</c:v>
                </c:pt>
                <c:pt idx="13">
                  <c:v>6.459901234902421E-2</c:v>
                </c:pt>
                <c:pt idx="14">
                  <c:v>6.7988050642515063E-2</c:v>
                </c:pt>
                <c:pt idx="15">
                  <c:v>7.1904107083584537E-2</c:v>
                </c:pt>
                <c:pt idx="16">
                  <c:v>7.7250834897001158E-2</c:v>
                </c:pt>
                <c:pt idx="17">
                  <c:v>8.4671765239833913E-2</c:v>
                </c:pt>
                <c:pt idx="18">
                  <c:v>0.1079730123354762</c:v>
                </c:pt>
                <c:pt idx="19">
                  <c:v>0.14956951152598172</c:v>
                </c:pt>
              </c:numCache>
            </c:numRef>
          </c:xVal>
          <c:yVal>
            <c:numRef>
              <c:f>'Run 1 (Ty)'!$F$202:$F$221</c:f>
              <c:numCache>
                <c:formatCode>General</c:formatCode>
                <c:ptCount val="20"/>
                <c:pt idx="0">
                  <c:v>90.482200000000006</c:v>
                </c:pt>
                <c:pt idx="1">
                  <c:v>87.025199999999998</c:v>
                </c:pt>
                <c:pt idx="2">
                  <c:v>85.926000000000002</c:v>
                </c:pt>
                <c:pt idx="3">
                  <c:v>87.687700000000007</c:v>
                </c:pt>
                <c:pt idx="4">
                  <c:v>86.1892</c:v>
                </c:pt>
                <c:pt idx="5">
                  <c:v>85.759699999999995</c:v>
                </c:pt>
                <c:pt idx="6">
                  <c:v>86.450400000000002</c:v>
                </c:pt>
                <c:pt idx="7">
                  <c:v>87.097200000000001</c:v>
                </c:pt>
                <c:pt idx="8">
                  <c:v>87.342799999999997</c:v>
                </c:pt>
                <c:pt idx="9">
                  <c:v>87.9071</c:v>
                </c:pt>
                <c:pt idx="10">
                  <c:v>90.712599999999995</c:v>
                </c:pt>
                <c:pt idx="11">
                  <c:v>87.141199999999998</c:v>
                </c:pt>
                <c:pt idx="12">
                  <c:v>87.908600000000007</c:v>
                </c:pt>
                <c:pt idx="13">
                  <c:v>88.4696</c:v>
                </c:pt>
                <c:pt idx="14">
                  <c:v>88.674300000000002</c:v>
                </c:pt>
                <c:pt idx="15">
                  <c:v>89.965900000000005</c:v>
                </c:pt>
                <c:pt idx="16">
                  <c:v>89.539100000000005</c:v>
                </c:pt>
                <c:pt idx="17">
                  <c:v>89.439700000000002</c:v>
                </c:pt>
                <c:pt idx="18">
                  <c:v>89.819699999999997</c:v>
                </c:pt>
                <c:pt idx="19">
                  <c:v>91.408000000000001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FA5-4CEB-90FE-30B40D564C24}"/>
            </c:ext>
          </c:extLst>
        </c:ser>
        <c:ser>
          <c:idx val="26"/>
          <c:order val="11"/>
          <c:tx>
            <c:strRef>
              <c:f>'Run 1 (Ty)'!$A$222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(Ty)'!$H$222:$H$241</c:f>
              <c:numCache>
                <c:formatCode>General</c:formatCode>
                <c:ptCount val="20"/>
                <c:pt idx="0">
                  <c:v>1.1946647880072889E-2</c:v>
                </c:pt>
                <c:pt idx="1">
                  <c:v>1.2344282395019746E-2</c:v>
                </c:pt>
                <c:pt idx="2">
                  <c:v>1.2855720314585126E-2</c:v>
                </c:pt>
                <c:pt idx="3">
                  <c:v>1.3707213645570135E-2</c:v>
                </c:pt>
                <c:pt idx="4">
                  <c:v>1.450790188520759E-2</c:v>
                </c:pt>
                <c:pt idx="5">
                  <c:v>1.5659483955752153E-2</c:v>
                </c:pt>
                <c:pt idx="6">
                  <c:v>1.7128089796305455E-2</c:v>
                </c:pt>
                <c:pt idx="7">
                  <c:v>1.9692730807529993E-2</c:v>
                </c:pt>
                <c:pt idx="8">
                  <c:v>2.0471064806974523E-2</c:v>
                </c:pt>
                <c:pt idx="9">
                  <c:v>2.1857705100153772E-2</c:v>
                </c:pt>
                <c:pt idx="10">
                  <c:v>2.2531041910813357E-2</c:v>
                </c:pt>
                <c:pt idx="11">
                  <c:v>2.3434695135581853E-2</c:v>
                </c:pt>
                <c:pt idx="12">
                  <c:v>3.7465029162122437E-2</c:v>
                </c:pt>
                <c:pt idx="13">
                  <c:v>4.4251234563719745E-2</c:v>
                </c:pt>
                <c:pt idx="14">
                  <c:v>4.5376397986763586E-2</c:v>
                </c:pt>
                <c:pt idx="15">
                  <c:v>4.7052966001232877E-2</c:v>
                </c:pt>
                <c:pt idx="16">
                  <c:v>4.9378484382514923E-2</c:v>
                </c:pt>
                <c:pt idx="17">
                  <c:v>5.3186156628709617E-2</c:v>
                </c:pt>
                <c:pt idx="18">
                  <c:v>6.9714068945895977E-2</c:v>
                </c:pt>
                <c:pt idx="19">
                  <c:v>9.585701415091144E-2</c:v>
                </c:pt>
              </c:numCache>
            </c:numRef>
          </c:xVal>
          <c:yVal>
            <c:numRef>
              <c:f>'Run 1 (Ty)'!$F$222:$F$241</c:f>
              <c:numCache>
                <c:formatCode>General</c:formatCode>
                <c:ptCount val="20"/>
                <c:pt idx="0">
                  <c:v>83.5655</c:v>
                </c:pt>
                <c:pt idx="1">
                  <c:v>83.769800000000004</c:v>
                </c:pt>
                <c:pt idx="2">
                  <c:v>85.512200000000007</c:v>
                </c:pt>
                <c:pt idx="3">
                  <c:v>85.896900000000002</c:v>
                </c:pt>
                <c:pt idx="4">
                  <c:v>86.325199999999995</c:v>
                </c:pt>
                <c:pt idx="5">
                  <c:v>89.334599999999995</c:v>
                </c:pt>
                <c:pt idx="6">
                  <c:v>89.944199999999995</c:v>
                </c:pt>
                <c:pt idx="7">
                  <c:v>90.290999999999997</c:v>
                </c:pt>
                <c:pt idx="8">
                  <c:v>88.083200000000005</c:v>
                </c:pt>
                <c:pt idx="9">
                  <c:v>87.448400000000007</c:v>
                </c:pt>
                <c:pt idx="10">
                  <c:v>87.286100000000005</c:v>
                </c:pt>
                <c:pt idx="11">
                  <c:v>85.970100000000002</c:v>
                </c:pt>
                <c:pt idx="12">
                  <c:v>89.701999999999998</c:v>
                </c:pt>
                <c:pt idx="13">
                  <c:v>87.880099999999999</c:v>
                </c:pt>
                <c:pt idx="14">
                  <c:v>90.820300000000003</c:v>
                </c:pt>
                <c:pt idx="15">
                  <c:v>90.258499999999998</c:v>
                </c:pt>
                <c:pt idx="16">
                  <c:v>92.924499999999995</c:v>
                </c:pt>
                <c:pt idx="17">
                  <c:v>90.956699999999998</c:v>
                </c:pt>
                <c:pt idx="18">
                  <c:v>89.386099999999999</c:v>
                </c:pt>
                <c:pt idx="19">
                  <c:v>89.785700000000006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FA5-4CEB-90FE-30B40D564C24}"/>
            </c:ext>
          </c:extLst>
        </c:ser>
        <c:ser>
          <c:idx val="2"/>
          <c:order val="13"/>
          <c:tx>
            <c:strRef>
              <c:f>'Run 1 (Alex)'!$A$23</c:f>
              <c:strCache>
                <c:ptCount val="1"/>
                <c:pt idx="0">
                  <c:v>DNA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(Alex)'!$H$23:$H$43</c:f>
              <c:numCache>
                <c:formatCode>General</c:formatCode>
                <c:ptCount val="21"/>
                <c:pt idx="0">
                  <c:v>0.55493230174081243</c:v>
                </c:pt>
                <c:pt idx="1">
                  <c:v>0.60367504835589936</c:v>
                </c:pt>
                <c:pt idx="2">
                  <c:v>0.69032882011605412</c:v>
                </c:pt>
                <c:pt idx="3">
                  <c:v>0.7688588007736944</c:v>
                </c:pt>
                <c:pt idx="4">
                  <c:v>0.82882011605415862</c:v>
                </c:pt>
                <c:pt idx="5">
                  <c:v>0.88994197292069621</c:v>
                </c:pt>
                <c:pt idx="6">
                  <c:v>0.94410058027079302</c:v>
                </c:pt>
                <c:pt idx="7">
                  <c:v>0.98588007736943895</c:v>
                </c:pt>
                <c:pt idx="8">
                  <c:v>1.0290135396518376</c:v>
                </c:pt>
                <c:pt idx="9">
                  <c:v>1.067117988394584</c:v>
                </c:pt>
                <c:pt idx="10">
                  <c:v>1.1003868471953577</c:v>
                </c:pt>
                <c:pt idx="11">
                  <c:v>1.1429400386847195</c:v>
                </c:pt>
                <c:pt idx="12">
                  <c:v>1.1934235976789169</c:v>
                </c:pt>
                <c:pt idx="13">
                  <c:v>1.2539651837524177</c:v>
                </c:pt>
                <c:pt idx="14">
                  <c:v>1.3272727272727274</c:v>
                </c:pt>
                <c:pt idx="15">
                  <c:v>1.408510638297872</c:v>
                </c:pt>
                <c:pt idx="16">
                  <c:v>1.5069632495164409</c:v>
                </c:pt>
                <c:pt idx="17">
                  <c:v>1.6363636363636362</c:v>
                </c:pt>
                <c:pt idx="18">
                  <c:v>1.9059961315280465</c:v>
                </c:pt>
                <c:pt idx="19">
                  <c:v>2.4388781431334623</c:v>
                </c:pt>
                <c:pt idx="20">
                  <c:v>3.6707930367504833</c:v>
                </c:pt>
              </c:numCache>
            </c:numRef>
          </c:xVal>
          <c:yVal>
            <c:numRef>
              <c:f>'Run 1 (Alex)'!$F$23:$F$43</c:f>
              <c:numCache>
                <c:formatCode>General</c:formatCode>
                <c:ptCount val="21"/>
                <c:pt idx="0">
                  <c:v>5.7782</c:v>
                </c:pt>
                <c:pt idx="1">
                  <c:v>5.5796999999999999</c:v>
                </c:pt>
                <c:pt idx="2">
                  <c:v>5.7305000000000001</c:v>
                </c:pt>
                <c:pt idx="3">
                  <c:v>5.7153</c:v>
                </c:pt>
                <c:pt idx="4">
                  <c:v>5.5023999999999997</c:v>
                </c:pt>
                <c:pt idx="5">
                  <c:v>5.5646000000000004</c:v>
                </c:pt>
                <c:pt idx="6">
                  <c:v>5.5358999999999998</c:v>
                </c:pt>
                <c:pt idx="7">
                  <c:v>5.7977999999999996</c:v>
                </c:pt>
                <c:pt idx="8">
                  <c:v>7.2751999999999999</c:v>
                </c:pt>
                <c:pt idx="9">
                  <c:v>8.4886999999999997</c:v>
                </c:pt>
                <c:pt idx="10">
                  <c:v>5.7961999999999998</c:v>
                </c:pt>
                <c:pt idx="11">
                  <c:v>5.6901999999999999</c:v>
                </c:pt>
                <c:pt idx="12">
                  <c:v>5.7182000000000004</c:v>
                </c:pt>
                <c:pt idx="13">
                  <c:v>5.7389000000000001</c:v>
                </c:pt>
                <c:pt idx="14">
                  <c:v>5.899</c:v>
                </c:pt>
                <c:pt idx="15">
                  <c:v>5.6573000000000002</c:v>
                </c:pt>
                <c:pt idx="16">
                  <c:v>5.6708999999999996</c:v>
                </c:pt>
                <c:pt idx="17">
                  <c:v>5.6718000000000002</c:v>
                </c:pt>
                <c:pt idx="18">
                  <c:v>5.9180000000000001</c:v>
                </c:pt>
                <c:pt idx="19">
                  <c:v>5.9029999999999996</c:v>
                </c:pt>
                <c:pt idx="20">
                  <c:v>6.1132999999999997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FA5-4CEB-90FE-30B40D564C24}"/>
            </c:ext>
          </c:extLst>
        </c:ser>
        <c:ser>
          <c:idx val="3"/>
          <c:order val="14"/>
          <c:tx>
            <c:strRef>
              <c:f>'Run 1 (Alex)'!$A$44</c:f>
              <c:strCache>
                <c:ptCount val="1"/>
                <c:pt idx="0">
                  <c:v>Episode3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(Alex)'!$H$44:$H$64</c:f>
              <c:numCache>
                <c:formatCode>General</c:formatCode>
                <c:ptCount val="21"/>
                <c:pt idx="0">
                  <c:v>2.9550697572228935E-2</c:v>
                </c:pt>
                <c:pt idx="1">
                  <c:v>3.5263100076897723E-2</c:v>
                </c:pt>
                <c:pt idx="2">
                  <c:v>4.7017466769196964E-2</c:v>
                </c:pt>
                <c:pt idx="3">
                  <c:v>5.7526822659196598E-2</c:v>
                </c:pt>
                <c:pt idx="4">
                  <c:v>6.7010875535537723E-2</c:v>
                </c:pt>
                <c:pt idx="5">
                  <c:v>7.5684102049036681E-2</c:v>
                </c:pt>
                <c:pt idx="6">
                  <c:v>8.3619738129240478E-2</c:v>
                </c:pt>
                <c:pt idx="7">
                  <c:v>9.1387977799051057E-2</c:v>
                </c:pt>
                <c:pt idx="8">
                  <c:v>9.766534318879698E-2</c:v>
                </c:pt>
                <c:pt idx="9">
                  <c:v>0.10487908224918002</c:v>
                </c:pt>
                <c:pt idx="10">
                  <c:v>0.11082165481813948</c:v>
                </c:pt>
                <c:pt idx="11">
                  <c:v>0.11707286451876148</c:v>
                </c:pt>
                <c:pt idx="12">
                  <c:v>0.12491434011811908</c:v>
                </c:pt>
                <c:pt idx="13">
                  <c:v>0.13484827084739198</c:v>
                </c:pt>
                <c:pt idx="14">
                  <c:v>0.14659740640186647</c:v>
                </c:pt>
                <c:pt idx="15">
                  <c:v>0.16007804857634583</c:v>
                </c:pt>
                <c:pt idx="16">
                  <c:v>0.1813583172475845</c:v>
                </c:pt>
                <c:pt idx="17">
                  <c:v>0.21035974534821067</c:v>
                </c:pt>
                <c:pt idx="18">
                  <c:v>0.26238864215355479</c:v>
                </c:pt>
                <c:pt idx="19">
                  <c:v>0.3735712454816047</c:v>
                </c:pt>
                <c:pt idx="20">
                  <c:v>0.663815696552157</c:v>
                </c:pt>
              </c:numCache>
            </c:numRef>
          </c:xVal>
          <c:yVal>
            <c:numRef>
              <c:f>'Run 1 (Alex)'!$F$44:$F$64</c:f>
              <c:numCache>
                <c:formatCode>General</c:formatCode>
                <c:ptCount val="21"/>
                <c:pt idx="0">
                  <c:v>10.945600000000001</c:v>
                </c:pt>
                <c:pt idx="1">
                  <c:v>10.9808</c:v>
                </c:pt>
                <c:pt idx="2">
                  <c:v>11.2567</c:v>
                </c:pt>
                <c:pt idx="3">
                  <c:v>11.1289</c:v>
                </c:pt>
                <c:pt idx="4">
                  <c:v>11.2448</c:v>
                </c:pt>
                <c:pt idx="5">
                  <c:v>11.227499999999999</c:v>
                </c:pt>
                <c:pt idx="6">
                  <c:v>11.495699999999999</c:v>
                </c:pt>
                <c:pt idx="7">
                  <c:v>11.400700000000001</c:v>
                </c:pt>
                <c:pt idx="8">
                  <c:v>11.411099999999999</c:v>
                </c:pt>
                <c:pt idx="9">
                  <c:v>11.734500000000001</c:v>
                </c:pt>
                <c:pt idx="10">
                  <c:v>11.695</c:v>
                </c:pt>
                <c:pt idx="11">
                  <c:v>11.5154</c:v>
                </c:pt>
                <c:pt idx="12">
                  <c:v>11.5738</c:v>
                </c:pt>
                <c:pt idx="13">
                  <c:v>11.6707</c:v>
                </c:pt>
                <c:pt idx="14">
                  <c:v>11.7133</c:v>
                </c:pt>
                <c:pt idx="15">
                  <c:v>12.151300000000001</c:v>
                </c:pt>
                <c:pt idx="16">
                  <c:v>11.9284</c:v>
                </c:pt>
                <c:pt idx="17">
                  <c:v>12.293200000000001</c:v>
                </c:pt>
                <c:pt idx="18">
                  <c:v>12.619199999999999</c:v>
                </c:pt>
                <c:pt idx="19">
                  <c:v>13.0138</c:v>
                </c:pt>
                <c:pt idx="20">
                  <c:v>15.055099999999999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FA5-4CEB-90FE-30B40D564C24}"/>
            </c:ext>
          </c:extLst>
        </c:ser>
        <c:ser>
          <c:idx val="4"/>
          <c:order val="15"/>
          <c:tx>
            <c:strRef>
              <c:f>'Run 1 (Alex)'!$A$65</c:f>
              <c:strCache>
                <c:ptCount val="1"/>
                <c:pt idx="0">
                  <c:v>ESA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(Alex)'!$H$65:$H$85</c:f>
              <c:numCache>
                <c:formatCode>General</c:formatCode>
                <c:ptCount val="21"/>
                <c:pt idx="0">
                  <c:v>1.3207968947928169E-2</c:v>
                </c:pt>
                <c:pt idx="1">
                  <c:v>1.5360072617410566E-2</c:v>
                </c:pt>
                <c:pt idx="2">
                  <c:v>1.9914241005805331E-2</c:v>
                </c:pt>
                <c:pt idx="3">
                  <c:v>2.3751718905590594E-2</c:v>
                </c:pt>
                <c:pt idx="4">
                  <c:v>2.7310107503573294E-2</c:v>
                </c:pt>
                <c:pt idx="5">
                  <c:v>3.0769595523732755E-2</c:v>
                </c:pt>
                <c:pt idx="6">
                  <c:v>3.349071621630776E-2</c:v>
                </c:pt>
                <c:pt idx="7">
                  <c:v>3.7818632597901414E-2</c:v>
                </c:pt>
                <c:pt idx="8">
                  <c:v>3.9679453743657833E-2</c:v>
                </c:pt>
                <c:pt idx="9">
                  <c:v>4.1791590741280159E-2</c:v>
                </c:pt>
                <c:pt idx="10">
                  <c:v>4.335435535113092E-2</c:v>
                </c:pt>
                <c:pt idx="11">
                  <c:v>4.5114243715410202E-2</c:v>
                </c:pt>
                <c:pt idx="12">
                  <c:v>5.6080014631866314E-2</c:v>
                </c:pt>
                <c:pt idx="13">
                  <c:v>6.4595625342934379E-2</c:v>
                </c:pt>
                <c:pt idx="14">
                  <c:v>6.7989405444950995E-2</c:v>
                </c:pt>
                <c:pt idx="15">
                  <c:v>7.1880398040955668E-2</c:v>
                </c:pt>
                <c:pt idx="16">
                  <c:v>7.7246093088475368E-2</c:v>
                </c:pt>
                <c:pt idx="17">
                  <c:v>8.4650088400858955E-2</c:v>
                </c:pt>
                <c:pt idx="18">
                  <c:v>0.10790324001002555</c:v>
                </c:pt>
                <c:pt idx="19">
                  <c:v>0.14934461432161655</c:v>
                </c:pt>
                <c:pt idx="20">
                  <c:v>0.26027312817108444</c:v>
                </c:pt>
              </c:numCache>
            </c:numRef>
          </c:xVal>
          <c:yVal>
            <c:numRef>
              <c:f>'Run 1 (Alex)'!$F$65:$F$85</c:f>
              <c:numCache>
                <c:formatCode>General</c:formatCode>
                <c:ptCount val="21"/>
                <c:pt idx="0">
                  <c:v>43.437399999999997</c:v>
                </c:pt>
                <c:pt idx="1">
                  <c:v>43.078600000000002</c:v>
                </c:pt>
                <c:pt idx="2">
                  <c:v>43.596400000000003</c:v>
                </c:pt>
                <c:pt idx="3">
                  <c:v>43.4619</c:v>
                </c:pt>
                <c:pt idx="4">
                  <c:v>43.8444</c:v>
                </c:pt>
                <c:pt idx="5">
                  <c:v>44.1477</c:v>
                </c:pt>
                <c:pt idx="6">
                  <c:v>44.402000000000001</c:v>
                </c:pt>
                <c:pt idx="7">
                  <c:v>44.374699999999997</c:v>
                </c:pt>
                <c:pt idx="8">
                  <c:v>44.805500000000002</c:v>
                </c:pt>
                <c:pt idx="9">
                  <c:v>44.624499999999998</c:v>
                </c:pt>
                <c:pt idx="10">
                  <c:v>44.671799999999998</c:v>
                </c:pt>
                <c:pt idx="11">
                  <c:v>44.645699999999998</c:v>
                </c:pt>
                <c:pt idx="12">
                  <c:v>45.508899999999997</c:v>
                </c:pt>
                <c:pt idx="13">
                  <c:v>46.713500000000003</c:v>
                </c:pt>
                <c:pt idx="14">
                  <c:v>46.055199999999999</c:v>
                </c:pt>
                <c:pt idx="15">
                  <c:v>46.112299999999998</c:v>
                </c:pt>
                <c:pt idx="16">
                  <c:v>46.174300000000002</c:v>
                </c:pt>
                <c:pt idx="17">
                  <c:v>46.404299999999999</c:v>
                </c:pt>
                <c:pt idx="18">
                  <c:v>46.791899999999998</c:v>
                </c:pt>
                <c:pt idx="19">
                  <c:v>47.784199999999998</c:v>
                </c:pt>
                <c:pt idx="20">
                  <c:v>53.227699999999999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FA5-4CEB-90FE-30B40D564C24}"/>
            </c:ext>
          </c:extLst>
        </c:ser>
        <c:ser>
          <c:idx val="5"/>
          <c:order val="16"/>
          <c:tx>
            <c:strRef>
              <c:f>'Run 1 (Alex)'!$A$86</c:f>
              <c:strCache>
                <c:ptCount val="1"/>
                <c:pt idx="0">
                  <c:v>ETA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(Alex)'!$H$86:$H$106</c:f>
              <c:numCache>
                <c:formatCode>General</c:formatCode>
                <c:ptCount val="21"/>
                <c:pt idx="0">
                  <c:v>1.1946647880072889E-2</c:v>
                </c:pt>
                <c:pt idx="1">
                  <c:v>1.2316508945083083E-2</c:v>
                </c:pt>
                <c:pt idx="2">
                  <c:v>1.2857075117021062E-2</c:v>
                </c:pt>
                <c:pt idx="3">
                  <c:v>1.3702471837044363E-2</c:v>
                </c:pt>
                <c:pt idx="4">
                  <c:v>1.4505869681553688E-2</c:v>
                </c:pt>
                <c:pt idx="5">
                  <c:v>1.5633742709469392E-2</c:v>
                </c:pt>
                <c:pt idx="6">
                  <c:v>1.7127412395087489E-2</c:v>
                </c:pt>
                <c:pt idx="7">
                  <c:v>1.9695440412401861E-2</c:v>
                </c:pt>
                <c:pt idx="8">
                  <c:v>2.0466322998448753E-2</c:v>
                </c:pt>
                <c:pt idx="9">
                  <c:v>2.1859737303807674E-2</c:v>
                </c:pt>
                <c:pt idx="10">
                  <c:v>2.2510042473056369E-2</c:v>
                </c:pt>
                <c:pt idx="11">
                  <c:v>2.3434695135581853E-2</c:v>
                </c:pt>
                <c:pt idx="12">
                  <c:v>3.7447416730455277E-2</c:v>
                </c:pt>
                <c:pt idx="13">
                  <c:v>4.4247170156411948E-2</c:v>
                </c:pt>
                <c:pt idx="14">
                  <c:v>4.5366236968494074E-2</c:v>
                </c:pt>
                <c:pt idx="15">
                  <c:v>4.7027902156168082E-2</c:v>
                </c:pt>
                <c:pt idx="16">
                  <c:v>4.9372387771553214E-2</c:v>
                </c:pt>
                <c:pt idx="17">
                  <c:v>5.3180737418965889E-2</c:v>
                </c:pt>
                <c:pt idx="18">
                  <c:v>6.976216443237164E-2</c:v>
                </c:pt>
                <c:pt idx="19">
                  <c:v>9.5878013588668445E-2</c:v>
                </c:pt>
                <c:pt idx="20">
                  <c:v>0.16582510855354518</c:v>
                </c:pt>
              </c:numCache>
            </c:numRef>
          </c:xVal>
          <c:yVal>
            <c:numRef>
              <c:f>'Run 1 (Alex)'!$F$86:$F$106</c:f>
              <c:numCache>
                <c:formatCode>General</c:formatCode>
                <c:ptCount val="21"/>
                <c:pt idx="0">
                  <c:v>42.592700000000001</c:v>
                </c:pt>
                <c:pt idx="1">
                  <c:v>42.747599999999998</c:v>
                </c:pt>
                <c:pt idx="2">
                  <c:v>42.797499999999999</c:v>
                </c:pt>
                <c:pt idx="3">
                  <c:v>44.641300000000001</c:v>
                </c:pt>
                <c:pt idx="4">
                  <c:v>43.4863</c:v>
                </c:pt>
                <c:pt idx="5">
                  <c:v>43.040300000000002</c:v>
                </c:pt>
                <c:pt idx="6">
                  <c:v>43.167400000000001</c:v>
                </c:pt>
                <c:pt idx="7">
                  <c:v>43.3352</c:v>
                </c:pt>
                <c:pt idx="8">
                  <c:v>43.339300000000001</c:v>
                </c:pt>
                <c:pt idx="9">
                  <c:v>43.460700000000003</c:v>
                </c:pt>
                <c:pt idx="10">
                  <c:v>43.401800000000001</c:v>
                </c:pt>
                <c:pt idx="11">
                  <c:v>43.386299999999999</c:v>
                </c:pt>
                <c:pt idx="12">
                  <c:v>44.195099999999996</c:v>
                </c:pt>
                <c:pt idx="13">
                  <c:v>44.634900000000002</c:v>
                </c:pt>
                <c:pt idx="14">
                  <c:v>44.819000000000003</c:v>
                </c:pt>
                <c:pt idx="15">
                  <c:v>44.967599999999997</c:v>
                </c:pt>
                <c:pt idx="16">
                  <c:v>44.957000000000001</c:v>
                </c:pt>
                <c:pt idx="17">
                  <c:v>45.200699999999998</c:v>
                </c:pt>
                <c:pt idx="18">
                  <c:v>45.349499999999999</c:v>
                </c:pt>
                <c:pt idx="19">
                  <c:v>45.914200000000001</c:v>
                </c:pt>
                <c:pt idx="20">
                  <c:v>49.160600000000002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FA5-4CEB-90FE-30B40D564C24}"/>
            </c:ext>
          </c:extLst>
        </c:ser>
        <c:ser>
          <c:idx val="0"/>
          <c:order val="17"/>
          <c:tx>
            <c:strRef>
              <c:f>'Run 1 (Alex)'!$A$107</c:f>
              <c:strCache>
                <c:ptCount val="1"/>
                <c:pt idx="0">
                  <c:v>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(Alex)'!$H$107:$H$127</c:f>
              <c:numCache>
                <c:formatCode>General</c:formatCode>
                <c:ptCount val="21"/>
                <c:pt idx="0">
                  <c:v>3.6918903985734733E-2</c:v>
                </c:pt>
                <c:pt idx="1">
                  <c:v>4.0635909284978775E-2</c:v>
                </c:pt>
                <c:pt idx="2">
                  <c:v>5.1987844388075438E-2</c:v>
                </c:pt>
                <c:pt idx="3">
                  <c:v>6.2234723861667125E-2</c:v>
                </c:pt>
                <c:pt idx="4">
                  <c:v>7.2230454328553129E-2</c:v>
                </c:pt>
                <c:pt idx="5">
                  <c:v>8.124670366928699E-2</c:v>
                </c:pt>
                <c:pt idx="6">
                  <c:v>8.9559735791244932E-2</c:v>
                </c:pt>
                <c:pt idx="7">
                  <c:v>9.7295125197779844E-2</c:v>
                </c:pt>
                <c:pt idx="8">
                  <c:v>0.10362408016676293</c:v>
                </c:pt>
                <c:pt idx="9">
                  <c:v>0.11103297586458045</c:v>
                </c:pt>
                <c:pt idx="10">
                  <c:v>0.11783911394630434</c:v>
                </c:pt>
                <c:pt idx="11">
                  <c:v>0.1241178391139463</c:v>
                </c:pt>
                <c:pt idx="12">
                  <c:v>0.1326317904412688</c:v>
                </c:pt>
                <c:pt idx="13">
                  <c:v>0.1435818871336364</c:v>
                </c:pt>
                <c:pt idx="14">
                  <c:v>0.15586307356154405</c:v>
                </c:pt>
                <c:pt idx="15">
                  <c:v>0.17005299244041489</c:v>
                </c:pt>
                <c:pt idx="16">
                  <c:v>0.19232990933520858</c:v>
                </c:pt>
                <c:pt idx="17">
                  <c:v>0.22284451364994851</c:v>
                </c:pt>
                <c:pt idx="18">
                  <c:v>0.2768917798930105</c:v>
                </c:pt>
                <c:pt idx="19">
                  <c:v>0.39452997463395034</c:v>
                </c:pt>
                <c:pt idx="20">
                  <c:v>0.72155109626541425</c:v>
                </c:pt>
              </c:numCache>
            </c:numRef>
          </c:xVal>
          <c:yVal>
            <c:numRef>
              <c:f>'Run 1 (Alex)'!$F$107:$F$127</c:f>
              <c:numCache>
                <c:formatCode>General</c:formatCode>
                <c:ptCount val="21"/>
                <c:pt idx="0">
                  <c:v>5.0739000000000001</c:v>
                </c:pt>
                <c:pt idx="1">
                  <c:v>5.0956000000000001</c:v>
                </c:pt>
                <c:pt idx="2">
                  <c:v>5.1163999999999996</c:v>
                </c:pt>
                <c:pt idx="3">
                  <c:v>5.3014000000000001</c:v>
                </c:pt>
                <c:pt idx="4">
                  <c:v>5.0888999999999998</c:v>
                </c:pt>
                <c:pt idx="5">
                  <c:v>5.1764000000000001</c:v>
                </c:pt>
                <c:pt idx="6">
                  <c:v>5.1463000000000001</c:v>
                </c:pt>
                <c:pt idx="7">
                  <c:v>5.1696999999999997</c:v>
                </c:pt>
                <c:pt idx="8">
                  <c:v>5.1639999999999997</c:v>
                </c:pt>
                <c:pt idx="9">
                  <c:v>5.3623000000000003</c:v>
                </c:pt>
                <c:pt idx="10">
                  <c:v>5.2469999999999999</c:v>
                </c:pt>
                <c:pt idx="11">
                  <c:v>5.2230999999999996</c:v>
                </c:pt>
                <c:pt idx="12">
                  <c:v>5.21</c:v>
                </c:pt>
                <c:pt idx="13">
                  <c:v>5.2008999999999999</c:v>
                </c:pt>
                <c:pt idx="14">
                  <c:v>5.1920000000000002</c:v>
                </c:pt>
                <c:pt idx="15">
                  <c:v>5.2819000000000003</c:v>
                </c:pt>
                <c:pt idx="16">
                  <c:v>5.2994000000000003</c:v>
                </c:pt>
                <c:pt idx="17">
                  <c:v>5.3160999999999996</c:v>
                </c:pt>
                <c:pt idx="18">
                  <c:v>5.4025999999999996</c:v>
                </c:pt>
                <c:pt idx="19">
                  <c:v>5.7084000000000001</c:v>
                </c:pt>
                <c:pt idx="20">
                  <c:v>6.2565999999999997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FA5-4CEB-90FE-30B40D564C24}"/>
            </c:ext>
          </c:extLst>
        </c:ser>
        <c:ser>
          <c:idx val="6"/>
          <c:order val="18"/>
          <c:tx>
            <c:strRef>
              <c:f>'Run 1 (Alex)'!$A$128</c:f>
              <c:strCache>
                <c:ptCount val="1"/>
                <c:pt idx="0">
                  <c:v>FridayBoat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(Alex)'!$H$128:$H$148</c:f>
              <c:numCache>
                <c:formatCode>General</c:formatCode>
                <c:ptCount val="21"/>
                <c:pt idx="0">
                  <c:v>0.26631116687578416</c:v>
                </c:pt>
                <c:pt idx="1">
                  <c:v>0.30426599749058975</c:v>
                </c:pt>
                <c:pt idx="2">
                  <c:v>0.37536595566708486</c:v>
                </c:pt>
                <c:pt idx="3">
                  <c:v>0.44332915098285236</c:v>
                </c:pt>
                <c:pt idx="4">
                  <c:v>0.51118778753659555</c:v>
                </c:pt>
                <c:pt idx="5">
                  <c:v>0.56974069427017981</c:v>
                </c:pt>
                <c:pt idx="6">
                  <c:v>0.61585110832287748</c:v>
                </c:pt>
                <c:pt idx="7">
                  <c:v>0.6856963613550815</c:v>
                </c:pt>
                <c:pt idx="8">
                  <c:v>0.73222501045587618</c:v>
                </c:pt>
                <c:pt idx="9">
                  <c:v>0.76850690087829354</c:v>
                </c:pt>
                <c:pt idx="10">
                  <c:v>0.79182350480970309</c:v>
                </c:pt>
                <c:pt idx="11">
                  <c:v>0.81827687160184026</c:v>
                </c:pt>
                <c:pt idx="12">
                  <c:v>0.91750313676286077</c:v>
                </c:pt>
                <c:pt idx="13">
                  <c:v>0.99613132580510244</c:v>
                </c:pt>
                <c:pt idx="14">
                  <c:v>1.0350271852781263</c:v>
                </c:pt>
                <c:pt idx="15">
                  <c:v>1.0828105395232122</c:v>
                </c:pt>
                <c:pt idx="16">
                  <c:v>1.1652028439983271</c:v>
                </c:pt>
                <c:pt idx="17">
                  <c:v>1.2526139690506064</c:v>
                </c:pt>
                <c:pt idx="18">
                  <c:v>1.5104558762024258</c:v>
                </c:pt>
                <c:pt idx="19">
                  <c:v>1.9972814721873693</c:v>
                </c:pt>
                <c:pt idx="20">
                  <c:v>3.3588456712672521</c:v>
                </c:pt>
              </c:numCache>
            </c:numRef>
          </c:xVal>
          <c:yVal>
            <c:numRef>
              <c:f>'Run 1 (Alex)'!$F$128:$F$148</c:f>
              <c:numCache>
                <c:formatCode>General</c:formatCode>
                <c:ptCount val="21"/>
                <c:pt idx="0">
                  <c:v>5.4141000000000004</c:v>
                </c:pt>
                <c:pt idx="1">
                  <c:v>5.4066000000000001</c:v>
                </c:pt>
                <c:pt idx="2">
                  <c:v>5.4455</c:v>
                </c:pt>
                <c:pt idx="3">
                  <c:v>5.4753999999999996</c:v>
                </c:pt>
                <c:pt idx="4">
                  <c:v>5.4771000000000001</c:v>
                </c:pt>
                <c:pt idx="5">
                  <c:v>5.7720000000000002</c:v>
                </c:pt>
                <c:pt idx="6">
                  <c:v>5.524</c:v>
                </c:pt>
                <c:pt idx="7">
                  <c:v>5.5319000000000003</c:v>
                </c:pt>
                <c:pt idx="8">
                  <c:v>5.5867000000000004</c:v>
                </c:pt>
                <c:pt idx="9">
                  <c:v>5.5622999999999996</c:v>
                </c:pt>
                <c:pt idx="10">
                  <c:v>5.6154000000000002</c:v>
                </c:pt>
                <c:pt idx="11">
                  <c:v>5.6397000000000004</c:v>
                </c:pt>
                <c:pt idx="12">
                  <c:v>5.6414</c:v>
                </c:pt>
                <c:pt idx="13">
                  <c:v>5.6649000000000003</c:v>
                </c:pt>
                <c:pt idx="14">
                  <c:v>5.7149000000000001</c:v>
                </c:pt>
                <c:pt idx="15">
                  <c:v>5.6680999999999999</c:v>
                </c:pt>
                <c:pt idx="16">
                  <c:v>5.9241999999999999</c:v>
                </c:pt>
                <c:pt idx="17">
                  <c:v>5.6835000000000004</c:v>
                </c:pt>
                <c:pt idx="18">
                  <c:v>5.7507999999999999</c:v>
                </c:pt>
                <c:pt idx="19">
                  <c:v>5.7507999999999999</c:v>
                </c:pt>
                <c:pt idx="20">
                  <c:v>6.2404000000000002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FA5-4CEB-90FE-30B40D564C24}"/>
            </c:ext>
          </c:extLst>
        </c:ser>
        <c:ser>
          <c:idx val="7"/>
          <c:order val="19"/>
          <c:tx>
            <c:strRef>
              <c:f>'Run 1 (Alex)'!$A$149</c:f>
              <c:strCache>
                <c:ptCount val="1"/>
                <c:pt idx="0">
                  <c:v>JOJO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(Alex)'!$H$149:$H$169</c:f>
              <c:numCache>
                <c:formatCode>General</c:formatCode>
                <c:ptCount val="21"/>
                <c:pt idx="0">
                  <c:v>3.5555364935719411E-2</c:v>
                </c:pt>
                <c:pt idx="1">
                  <c:v>4.2154981075024391E-2</c:v>
                </c:pt>
                <c:pt idx="2">
                  <c:v>5.6110140141320777E-2</c:v>
                </c:pt>
                <c:pt idx="3">
                  <c:v>6.8489111437547587E-2</c:v>
                </c:pt>
                <c:pt idx="4">
                  <c:v>7.9243644317682257E-2</c:v>
                </c:pt>
                <c:pt idx="5">
                  <c:v>8.9617533212528008E-2</c:v>
                </c:pt>
                <c:pt idx="6">
                  <c:v>9.9519638012931178E-2</c:v>
                </c:pt>
                <c:pt idx="7">
                  <c:v>0.10894995871889174</c:v>
                </c:pt>
                <c:pt idx="8">
                  <c:v>0.11631086282877454</c:v>
                </c:pt>
                <c:pt idx="9">
                  <c:v>0.12440088781188681</c:v>
                </c:pt>
                <c:pt idx="10">
                  <c:v>0.13139187030226349</c:v>
                </c:pt>
                <c:pt idx="11">
                  <c:v>0.13863482838853564</c:v>
                </c:pt>
                <c:pt idx="12">
                  <c:v>0.14768986629209871</c:v>
                </c:pt>
                <c:pt idx="13">
                  <c:v>0.15913063058233168</c:v>
                </c:pt>
                <c:pt idx="14">
                  <c:v>0.17207788726504616</c:v>
                </c:pt>
                <c:pt idx="15">
                  <c:v>0.18726611839636298</c:v>
                </c:pt>
                <c:pt idx="16">
                  <c:v>0.21040498375561584</c:v>
                </c:pt>
                <c:pt idx="17">
                  <c:v>0.2428133343340875</c:v>
                </c:pt>
                <c:pt idx="18">
                  <c:v>0.30448838231667436</c:v>
                </c:pt>
                <c:pt idx="19">
                  <c:v>0.43604108810567965</c:v>
                </c:pt>
                <c:pt idx="20">
                  <c:v>0.79827477134554969</c:v>
                </c:pt>
              </c:numCache>
            </c:numRef>
          </c:xVal>
          <c:yVal>
            <c:numRef>
              <c:f>'Run 1 (Alex)'!$F$149:$F$169</c:f>
              <c:numCache>
                <c:formatCode>General</c:formatCode>
                <c:ptCount val="21"/>
                <c:pt idx="0">
                  <c:v>20.136800000000001</c:v>
                </c:pt>
                <c:pt idx="1">
                  <c:v>20.340800000000002</c:v>
                </c:pt>
                <c:pt idx="2">
                  <c:v>22.113900000000001</c:v>
                </c:pt>
                <c:pt idx="3">
                  <c:v>21.053699999999999</c:v>
                </c:pt>
                <c:pt idx="4">
                  <c:v>20.963000000000001</c:v>
                </c:pt>
                <c:pt idx="5">
                  <c:v>20.8733</c:v>
                </c:pt>
                <c:pt idx="6">
                  <c:v>20.972300000000001</c:v>
                </c:pt>
                <c:pt idx="7">
                  <c:v>20.9053</c:v>
                </c:pt>
                <c:pt idx="8">
                  <c:v>20.884899999999998</c:v>
                </c:pt>
                <c:pt idx="9">
                  <c:v>21.567499999999999</c:v>
                </c:pt>
                <c:pt idx="10">
                  <c:v>20.912700000000001</c:v>
                </c:pt>
                <c:pt idx="11">
                  <c:v>20.821100000000001</c:v>
                </c:pt>
                <c:pt idx="12">
                  <c:v>21.0656</c:v>
                </c:pt>
                <c:pt idx="13">
                  <c:v>21.103200000000001</c:v>
                </c:pt>
                <c:pt idx="14">
                  <c:v>21.011099999999999</c:v>
                </c:pt>
                <c:pt idx="15">
                  <c:v>21.158200000000001</c:v>
                </c:pt>
                <c:pt idx="16">
                  <c:v>21.216100000000001</c:v>
                </c:pt>
                <c:pt idx="17">
                  <c:v>21.485399999999998</c:v>
                </c:pt>
                <c:pt idx="18">
                  <c:v>21.705400000000001</c:v>
                </c:pt>
                <c:pt idx="19">
                  <c:v>22.144600000000001</c:v>
                </c:pt>
                <c:pt idx="20">
                  <c:v>25.186599999999999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FA5-4CEB-90FE-30B40D564C24}"/>
            </c:ext>
          </c:extLst>
        </c:ser>
        <c:ser>
          <c:idx val="8"/>
          <c:order val="20"/>
          <c:tx>
            <c:strRef>
              <c:f>'Run 1 (Alex)'!$A$170</c:f>
              <c:strCache>
                <c:ptCount val="1"/>
                <c:pt idx="0">
                  <c:v>JOJOW3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(Alex)'!$H$170:$H$190</c:f>
              <c:numCache>
                <c:formatCode>General</c:formatCode>
                <c:ptCount val="21"/>
                <c:pt idx="0">
                  <c:v>3.1211126387758723E-2</c:v>
                </c:pt>
                <c:pt idx="1">
                  <c:v>3.7683436684530988E-2</c:v>
                </c:pt>
                <c:pt idx="2">
                  <c:v>5.0473731960305655E-2</c:v>
                </c:pt>
                <c:pt idx="3">
                  <c:v>6.1744156682286257E-2</c:v>
                </c:pt>
                <c:pt idx="4">
                  <c:v>7.2121365171114032E-2</c:v>
                </c:pt>
                <c:pt idx="5">
                  <c:v>8.1867242814519667E-2</c:v>
                </c:pt>
                <c:pt idx="6">
                  <c:v>9.1009848761188589E-2</c:v>
                </c:pt>
                <c:pt idx="7">
                  <c:v>9.9736244002356964E-2</c:v>
                </c:pt>
                <c:pt idx="8">
                  <c:v>0.10696615131363579</c:v>
                </c:pt>
                <c:pt idx="9">
                  <c:v>0.11497703826332575</c:v>
                </c:pt>
                <c:pt idx="10">
                  <c:v>0.12228176997109907</c:v>
                </c:pt>
                <c:pt idx="11">
                  <c:v>0.1298109748683558</c:v>
                </c:pt>
                <c:pt idx="12">
                  <c:v>0.13910322960801369</c:v>
                </c:pt>
                <c:pt idx="13">
                  <c:v>0.15083663028330388</c:v>
                </c:pt>
                <c:pt idx="14">
                  <c:v>0.16454820094091679</c:v>
                </c:pt>
                <c:pt idx="15">
                  <c:v>0.18048579739424037</c:v>
                </c:pt>
                <c:pt idx="16">
                  <c:v>0.20544441014992937</c:v>
                </c:pt>
                <c:pt idx="17">
                  <c:v>0.23962980629834355</c:v>
                </c:pt>
                <c:pt idx="18">
                  <c:v>0.3008829278786348</c:v>
                </c:pt>
                <c:pt idx="19">
                  <c:v>0.43238212819289729</c:v>
                </c:pt>
                <c:pt idx="20">
                  <c:v>0.76530860387029187</c:v>
                </c:pt>
              </c:numCache>
            </c:numRef>
          </c:xVal>
          <c:yVal>
            <c:numRef>
              <c:f>'Run 1 (Alex)'!$F$170:$F$190</c:f>
              <c:numCache>
                <c:formatCode>General</c:formatCode>
                <c:ptCount val="21"/>
                <c:pt idx="0">
                  <c:v>20.3201</c:v>
                </c:pt>
                <c:pt idx="1">
                  <c:v>20.158999999999999</c:v>
                </c:pt>
                <c:pt idx="2">
                  <c:v>20.243400000000001</c:v>
                </c:pt>
                <c:pt idx="3">
                  <c:v>20.409400000000002</c:v>
                </c:pt>
                <c:pt idx="4">
                  <c:v>20.394200000000001</c:v>
                </c:pt>
                <c:pt idx="5">
                  <c:v>20.6251</c:v>
                </c:pt>
                <c:pt idx="6">
                  <c:v>20.572900000000001</c:v>
                </c:pt>
                <c:pt idx="7">
                  <c:v>20.913599999999999</c:v>
                </c:pt>
                <c:pt idx="8">
                  <c:v>21.147400000000001</c:v>
                </c:pt>
                <c:pt idx="9">
                  <c:v>20.955100000000002</c:v>
                </c:pt>
                <c:pt idx="10">
                  <c:v>20.979900000000001</c:v>
                </c:pt>
                <c:pt idx="11">
                  <c:v>20.925000000000001</c:v>
                </c:pt>
                <c:pt idx="12">
                  <c:v>20.871500000000001</c:v>
                </c:pt>
                <c:pt idx="13">
                  <c:v>21.064</c:v>
                </c:pt>
                <c:pt idx="14">
                  <c:v>21.059200000000001</c:v>
                </c:pt>
                <c:pt idx="15">
                  <c:v>21.320399999999999</c:v>
                </c:pt>
                <c:pt idx="16">
                  <c:v>21.4145</c:v>
                </c:pt>
                <c:pt idx="17">
                  <c:v>21.580200000000001</c:v>
                </c:pt>
                <c:pt idx="18">
                  <c:v>22.030100000000001</c:v>
                </c:pt>
                <c:pt idx="19">
                  <c:v>22.694299999999998</c:v>
                </c:pt>
                <c:pt idx="20">
                  <c:v>25.3765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FA5-4CEB-90FE-30B40D564C24}"/>
            </c:ext>
          </c:extLst>
        </c:ser>
        <c:ser>
          <c:idx val="9"/>
          <c:order val="21"/>
          <c:tx>
            <c:strRef>
              <c:f>'Run 1 (Alex)'!$A$191</c:f>
              <c:strCache>
                <c:ptCount val="1"/>
                <c:pt idx="0">
                  <c:v>Onion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(Alex)'!$H$191:$H$211</c:f>
              <c:numCache>
                <c:formatCode>General</c:formatCode>
                <c:ptCount val="21"/>
                <c:pt idx="0">
                  <c:v>3.4358211600596864E-2</c:v>
                </c:pt>
                <c:pt idx="1">
                  <c:v>3.5802478006672842E-2</c:v>
                </c:pt>
                <c:pt idx="2">
                  <c:v>3.9807143729656318E-2</c:v>
                </c:pt>
                <c:pt idx="3">
                  <c:v>4.3989049442771842E-2</c:v>
                </c:pt>
                <c:pt idx="4">
                  <c:v>4.8139818400864162E-2</c:v>
                </c:pt>
                <c:pt idx="5">
                  <c:v>5.2338490058992174E-2</c:v>
                </c:pt>
                <c:pt idx="6">
                  <c:v>5.6403034157020263E-2</c:v>
                </c:pt>
                <c:pt idx="7">
                  <c:v>6.0366982584973396E-2</c:v>
                </c:pt>
                <c:pt idx="8">
                  <c:v>6.3856694282573234E-2</c:v>
                </c:pt>
                <c:pt idx="9">
                  <c:v>6.8191888635802944E-2</c:v>
                </c:pt>
                <c:pt idx="10">
                  <c:v>7.1760639788461672E-2</c:v>
                </c:pt>
                <c:pt idx="11">
                  <c:v>7.56048314663256E-2</c:v>
                </c:pt>
                <c:pt idx="12">
                  <c:v>8.048132632995858E-2</c:v>
                </c:pt>
                <c:pt idx="13">
                  <c:v>8.7640384850292088E-2</c:v>
                </c:pt>
                <c:pt idx="14">
                  <c:v>9.57479168313322E-2</c:v>
                </c:pt>
                <c:pt idx="15">
                  <c:v>0.10592484545391401</c:v>
                </c:pt>
                <c:pt idx="16">
                  <c:v>0.12264288776636893</c:v>
                </c:pt>
                <c:pt idx="17">
                  <c:v>0.14651040805915025</c:v>
                </c:pt>
                <c:pt idx="18">
                  <c:v>0.19277244061861548</c:v>
                </c:pt>
                <c:pt idx="19">
                  <c:v>0.29984216060338242</c:v>
                </c:pt>
                <c:pt idx="20">
                  <c:v>0.62135071243290618</c:v>
                </c:pt>
              </c:numCache>
            </c:numRef>
          </c:xVal>
          <c:yVal>
            <c:numRef>
              <c:f>'Run 1 (Alex)'!$F$191:$F$211</c:f>
              <c:numCache>
                <c:formatCode>General</c:formatCode>
                <c:ptCount val="21"/>
                <c:pt idx="0">
                  <c:v>41.241500000000002</c:v>
                </c:pt>
                <c:pt idx="1">
                  <c:v>40.988700000000001</c:v>
                </c:pt>
                <c:pt idx="2">
                  <c:v>41.557299999999998</c:v>
                </c:pt>
                <c:pt idx="3">
                  <c:v>41.509500000000003</c:v>
                </c:pt>
                <c:pt idx="4">
                  <c:v>41.653599999999997</c:v>
                </c:pt>
                <c:pt idx="5">
                  <c:v>41.517699999999998</c:v>
                </c:pt>
                <c:pt idx="6">
                  <c:v>41.7883</c:v>
                </c:pt>
                <c:pt idx="7">
                  <c:v>41.679099999999998</c:v>
                </c:pt>
                <c:pt idx="8">
                  <c:v>41.653700000000001</c:v>
                </c:pt>
                <c:pt idx="9">
                  <c:v>41.921100000000003</c:v>
                </c:pt>
                <c:pt idx="10">
                  <c:v>42.048999999999999</c:v>
                </c:pt>
                <c:pt idx="11">
                  <c:v>42.027900000000002</c:v>
                </c:pt>
                <c:pt idx="12">
                  <c:v>41.968200000000003</c:v>
                </c:pt>
                <c:pt idx="13">
                  <c:v>42.286799999999999</c:v>
                </c:pt>
                <c:pt idx="14">
                  <c:v>42.219900000000003</c:v>
                </c:pt>
                <c:pt idx="15">
                  <c:v>42.351999999999997</c:v>
                </c:pt>
                <c:pt idx="16">
                  <c:v>44.264099999999999</c:v>
                </c:pt>
                <c:pt idx="17">
                  <c:v>44.177799999999998</c:v>
                </c:pt>
                <c:pt idx="18">
                  <c:v>43.796599999999998</c:v>
                </c:pt>
                <c:pt idx="19">
                  <c:v>45.235100000000003</c:v>
                </c:pt>
                <c:pt idx="20">
                  <c:v>50.990499999999997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FA5-4CEB-90FE-30B40D564C24}"/>
            </c:ext>
          </c:extLst>
        </c:ser>
        <c:ser>
          <c:idx val="10"/>
          <c:order val="22"/>
          <c:tx>
            <c:strRef>
              <c:f>'Run 1 (Alex)'!$A$212</c:f>
              <c:strCache>
                <c:ptCount val="1"/>
                <c:pt idx="0">
                  <c:v>Starwars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(Alex)'!$H$212:$H$232</c:f>
              <c:numCache>
                <c:formatCode>General</c:formatCode>
                <c:ptCount val="21"/>
                <c:pt idx="0">
                  <c:v>0.11209485322298172</c:v>
                </c:pt>
                <c:pt idx="1">
                  <c:v>0.13692396508982241</c:v>
                </c:pt>
                <c:pt idx="2">
                  <c:v>0.19604228420067046</c:v>
                </c:pt>
                <c:pt idx="3">
                  <c:v>0.25134260584391332</c:v>
                </c:pt>
                <c:pt idx="4">
                  <c:v>0.30184496116509568</c:v>
                </c:pt>
                <c:pt idx="5">
                  <c:v>0.35085310654978197</c:v>
                </c:pt>
                <c:pt idx="6">
                  <c:v>0.3928850380101781</c:v>
                </c:pt>
                <c:pt idx="7">
                  <c:v>0.43848269772812171</c:v>
                </c:pt>
                <c:pt idx="8">
                  <c:v>0.46754702152535549</c:v>
                </c:pt>
                <c:pt idx="9">
                  <c:v>0.52127551193669985</c:v>
                </c:pt>
                <c:pt idx="10">
                  <c:v>0.54674499949061028</c:v>
                </c:pt>
                <c:pt idx="11">
                  <c:v>0.56967724095105488</c:v>
                </c:pt>
                <c:pt idx="12">
                  <c:v>0.62798053646017793</c:v>
                </c:pt>
                <c:pt idx="13">
                  <c:v>0.69922718297764985</c:v>
                </c:pt>
                <c:pt idx="14">
                  <c:v>0.74062359008193901</c:v>
                </c:pt>
                <c:pt idx="15">
                  <c:v>0.7889040358222279</c:v>
                </c:pt>
                <c:pt idx="16">
                  <c:v>0.95779342062494843</c:v>
                </c:pt>
                <c:pt idx="17">
                  <c:v>1.146287033847736</c:v>
                </c:pt>
                <c:pt idx="18">
                  <c:v>1.3541762682591969</c:v>
                </c:pt>
                <c:pt idx="19">
                  <c:v>1.9089453691620295</c:v>
                </c:pt>
                <c:pt idx="20">
                  <c:v>3.18509283021797</c:v>
                </c:pt>
              </c:numCache>
            </c:numRef>
          </c:xVal>
          <c:yVal>
            <c:numRef>
              <c:f>'Run 1 (Alex)'!$F$212:$F$232</c:f>
              <c:numCache>
                <c:formatCode>General</c:formatCode>
                <c:ptCount val="21"/>
                <c:pt idx="0">
                  <c:v>43.361800000000002</c:v>
                </c:pt>
                <c:pt idx="1">
                  <c:v>43.664900000000003</c:v>
                </c:pt>
                <c:pt idx="2">
                  <c:v>44.121899999999997</c:v>
                </c:pt>
                <c:pt idx="3">
                  <c:v>44.716299999999997</c:v>
                </c:pt>
                <c:pt idx="4">
                  <c:v>45.023800000000001</c:v>
                </c:pt>
                <c:pt idx="5">
                  <c:v>45.693100000000001</c:v>
                </c:pt>
                <c:pt idx="6">
                  <c:v>45.783200000000001</c:v>
                </c:pt>
                <c:pt idx="7">
                  <c:v>46.142000000000003</c:v>
                </c:pt>
                <c:pt idx="8">
                  <c:v>46.228499999999997</c:v>
                </c:pt>
                <c:pt idx="9">
                  <c:v>46.680599999999998</c:v>
                </c:pt>
                <c:pt idx="10">
                  <c:v>46.712800000000001</c:v>
                </c:pt>
                <c:pt idx="11">
                  <c:v>47.076099999999997</c:v>
                </c:pt>
                <c:pt idx="12">
                  <c:v>47.416200000000003</c:v>
                </c:pt>
                <c:pt idx="13">
                  <c:v>48.0396</c:v>
                </c:pt>
                <c:pt idx="14">
                  <c:v>48.2286</c:v>
                </c:pt>
                <c:pt idx="15">
                  <c:v>48.295999999999999</c:v>
                </c:pt>
                <c:pt idx="16">
                  <c:v>49.577399999999997</c:v>
                </c:pt>
                <c:pt idx="17">
                  <c:v>51.281799999999997</c:v>
                </c:pt>
                <c:pt idx="18">
                  <c:v>51.878700000000002</c:v>
                </c:pt>
                <c:pt idx="19">
                  <c:v>53.690899999999999</c:v>
                </c:pt>
                <c:pt idx="20">
                  <c:v>60.671399999999998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FA5-4CEB-90FE-30B40D564C24}"/>
            </c:ext>
          </c:extLst>
        </c:ser>
        <c:ser>
          <c:idx val="11"/>
          <c:order val="23"/>
          <c:tx>
            <c:strRef>
              <c:f>'Run 1 (Alex)'!$A$233</c:f>
              <c:strCache>
                <c:ptCount val="1"/>
                <c:pt idx="0">
                  <c:v>starwarsoriginal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(Alex)'!$H$233:$H$253</c:f>
              <c:numCache>
                <c:formatCode>General</c:formatCode>
                <c:ptCount val="21"/>
                <c:pt idx="0">
                  <c:v>9.4763221569305209E-2</c:v>
                </c:pt>
                <c:pt idx="1">
                  <c:v>0.10565157276183892</c:v>
                </c:pt>
                <c:pt idx="2">
                  <c:v>0.12706533010715518</c:v>
                </c:pt>
                <c:pt idx="3">
                  <c:v>0.14645696508814379</c:v>
                </c:pt>
                <c:pt idx="4">
                  <c:v>0.16354994815070859</c:v>
                </c:pt>
                <c:pt idx="5">
                  <c:v>0.18071206360179745</c:v>
                </c:pt>
                <c:pt idx="6">
                  <c:v>0.19662979605945383</c:v>
                </c:pt>
                <c:pt idx="7">
                  <c:v>0.21180435534047701</c:v>
                </c:pt>
                <c:pt idx="8">
                  <c:v>0.22533702039405459</c:v>
                </c:pt>
                <c:pt idx="9">
                  <c:v>0.24128931904597306</c:v>
                </c:pt>
                <c:pt idx="10">
                  <c:v>0.25466643622537155</c:v>
                </c:pt>
                <c:pt idx="11">
                  <c:v>0.2685966125129623</c:v>
                </c:pt>
                <c:pt idx="12">
                  <c:v>0.28665744901486345</c:v>
                </c:pt>
                <c:pt idx="13">
                  <c:v>0.31275492568268232</c:v>
                </c:pt>
                <c:pt idx="14">
                  <c:v>0.3426201175250605</c:v>
                </c:pt>
                <c:pt idx="15">
                  <c:v>0.37881092291738677</c:v>
                </c:pt>
                <c:pt idx="16">
                  <c:v>0.44021776702385068</c:v>
                </c:pt>
                <c:pt idx="17">
                  <c:v>0.53323539578292423</c:v>
                </c:pt>
                <c:pt idx="18">
                  <c:v>0.72582094711372269</c:v>
                </c:pt>
                <c:pt idx="19">
                  <c:v>1.2007777393708952</c:v>
                </c:pt>
                <c:pt idx="20">
                  <c:v>2.691289319045973</c:v>
                </c:pt>
              </c:numCache>
            </c:numRef>
          </c:xVal>
          <c:yVal>
            <c:numRef>
              <c:f>'Run 1 (Alex)'!$F$233:$F$253</c:f>
              <c:numCache>
                <c:formatCode>General</c:formatCode>
                <c:ptCount val="21"/>
                <c:pt idx="0">
                  <c:v>20.226400000000002</c:v>
                </c:pt>
                <c:pt idx="1">
                  <c:v>20.070399999999999</c:v>
                </c:pt>
                <c:pt idx="2">
                  <c:v>20.122599999999998</c:v>
                </c:pt>
                <c:pt idx="3">
                  <c:v>20.186499999999999</c:v>
                </c:pt>
                <c:pt idx="4">
                  <c:v>20.309999999999999</c:v>
                </c:pt>
                <c:pt idx="5">
                  <c:v>20.372900000000001</c:v>
                </c:pt>
                <c:pt idx="6">
                  <c:v>20.472799999999999</c:v>
                </c:pt>
                <c:pt idx="7">
                  <c:v>20.303599999999999</c:v>
                </c:pt>
                <c:pt idx="8">
                  <c:v>20.463000000000001</c:v>
                </c:pt>
                <c:pt idx="9">
                  <c:v>20.496099999999998</c:v>
                </c:pt>
                <c:pt idx="10">
                  <c:v>20.490200000000002</c:v>
                </c:pt>
                <c:pt idx="11">
                  <c:v>20.461200000000002</c:v>
                </c:pt>
                <c:pt idx="12">
                  <c:v>20.527699999999999</c:v>
                </c:pt>
                <c:pt idx="13">
                  <c:v>20.5809</c:v>
                </c:pt>
                <c:pt idx="14">
                  <c:v>20.6128</c:v>
                </c:pt>
                <c:pt idx="15">
                  <c:v>20.7544</c:v>
                </c:pt>
                <c:pt idx="16">
                  <c:v>20.833400000000001</c:v>
                </c:pt>
                <c:pt idx="17">
                  <c:v>20.969799999999999</c:v>
                </c:pt>
                <c:pt idx="18">
                  <c:v>21.229399999999998</c:v>
                </c:pt>
                <c:pt idx="19">
                  <c:v>22.2484</c:v>
                </c:pt>
                <c:pt idx="20">
                  <c:v>26.3109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FA5-4CEB-90FE-30B40D564C24}"/>
            </c:ext>
          </c:extLst>
        </c:ser>
        <c:ser>
          <c:idx val="12"/>
          <c:order val="24"/>
          <c:tx>
            <c:strRef>
              <c:f>'Run 1 (Alex)'!$A$254</c:f>
              <c:strCache>
                <c:ptCount val="1"/>
                <c:pt idx="0">
                  <c:v>StarwarsRise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(Alex)'!$H$254:$H$274</c:f>
              <c:numCache>
                <c:formatCode>General</c:formatCode>
                <c:ptCount val="21"/>
                <c:pt idx="0">
                  <c:v>0.21991327363856505</c:v>
                </c:pt>
                <c:pt idx="1">
                  <c:v>0.24981697358788085</c:v>
                </c:pt>
                <c:pt idx="2">
                  <c:v>0.31170805879371516</c:v>
                </c:pt>
                <c:pt idx="3">
                  <c:v>0.36957256293292789</c:v>
                </c:pt>
                <c:pt idx="4">
                  <c:v>0.42723996170524298</c:v>
                </c:pt>
                <c:pt idx="5">
                  <c:v>0.48696288787520414</c:v>
                </c:pt>
                <c:pt idx="6">
                  <c:v>0.52905896266261188</c:v>
                </c:pt>
                <c:pt idx="7">
                  <c:v>0.57605451371290206</c:v>
                </c:pt>
                <c:pt idx="8">
                  <c:v>0.61001295263839606</c:v>
                </c:pt>
                <c:pt idx="9">
                  <c:v>0.65334797544630285</c:v>
                </c:pt>
                <c:pt idx="10">
                  <c:v>0.68401193895365209</c:v>
                </c:pt>
                <c:pt idx="11">
                  <c:v>0.72058906346792817</c:v>
                </c:pt>
                <c:pt idx="12">
                  <c:v>0.77465224981697367</c:v>
                </c:pt>
                <c:pt idx="13">
                  <c:v>0.84569465562876611</c:v>
                </c:pt>
                <c:pt idx="14">
                  <c:v>0.89598468209720106</c:v>
                </c:pt>
                <c:pt idx="15">
                  <c:v>0.96474629723489336</c:v>
                </c:pt>
                <c:pt idx="16">
                  <c:v>1.0755758292504365</c:v>
                </c:pt>
                <c:pt idx="17">
                  <c:v>1.1819282536464493</c:v>
                </c:pt>
                <c:pt idx="18">
                  <c:v>1.3660246663287718</c:v>
                </c:pt>
                <c:pt idx="19">
                  <c:v>1.7955735766176719</c:v>
                </c:pt>
                <c:pt idx="20">
                  <c:v>0.6803216715925493</c:v>
                </c:pt>
              </c:numCache>
            </c:numRef>
          </c:xVal>
          <c:yVal>
            <c:numRef>
              <c:f>'Run 1 (Alex)'!$F$254:$F$274</c:f>
              <c:numCache>
                <c:formatCode>General</c:formatCode>
                <c:ptCount val="21"/>
                <c:pt idx="0">
                  <c:v>20.764900000000001</c:v>
                </c:pt>
                <c:pt idx="1">
                  <c:v>20.6616</c:v>
                </c:pt>
                <c:pt idx="2">
                  <c:v>21.021000000000001</c:v>
                </c:pt>
                <c:pt idx="3">
                  <c:v>20.938099999999999</c:v>
                </c:pt>
                <c:pt idx="4">
                  <c:v>21.0731</c:v>
                </c:pt>
                <c:pt idx="5">
                  <c:v>21.188500000000001</c:v>
                </c:pt>
                <c:pt idx="6">
                  <c:v>21.019200000000001</c:v>
                </c:pt>
                <c:pt idx="7">
                  <c:v>21.263999999999999</c:v>
                </c:pt>
                <c:pt idx="8">
                  <c:v>21.2944</c:v>
                </c:pt>
                <c:pt idx="9">
                  <c:v>21.295200000000001</c:v>
                </c:pt>
                <c:pt idx="10">
                  <c:v>21.522400000000001</c:v>
                </c:pt>
                <c:pt idx="11">
                  <c:v>21.534300000000002</c:v>
                </c:pt>
                <c:pt idx="12">
                  <c:v>21.406300000000002</c:v>
                </c:pt>
                <c:pt idx="13">
                  <c:v>21.530799999999999</c:v>
                </c:pt>
                <c:pt idx="14">
                  <c:v>21.608000000000001</c:v>
                </c:pt>
                <c:pt idx="15">
                  <c:v>21.648099999999999</c:v>
                </c:pt>
                <c:pt idx="16">
                  <c:v>21.832000000000001</c:v>
                </c:pt>
                <c:pt idx="17">
                  <c:v>21.6981</c:v>
                </c:pt>
                <c:pt idx="18">
                  <c:v>21.8124</c:v>
                </c:pt>
                <c:pt idx="19">
                  <c:v>21.900400000000001</c:v>
                </c:pt>
                <c:pt idx="20">
                  <c:v>12.929399999999999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FA5-4CEB-90FE-30B40D564C24}"/>
            </c:ext>
          </c:extLst>
        </c:ser>
        <c:ser>
          <c:idx val="13"/>
          <c:order val="25"/>
          <c:tx>
            <c:strRef>
              <c:f>'Run 1 (Alex)'!$A$274</c:f>
              <c:strCache>
                <c:ptCount val="1"/>
                <c:pt idx="0">
                  <c:v>Tanks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(Alex)'!$H$274:$H$295</c:f>
              <c:numCache>
                <c:formatCode>General</c:formatCode>
                <c:ptCount val="22"/>
                <c:pt idx="0">
                  <c:v>0.6803216715925493</c:v>
                </c:pt>
                <c:pt idx="1">
                  <c:v>2.6041308681009002E-2</c:v>
                </c:pt>
                <c:pt idx="2">
                  <c:v>2.8524297202556878E-2</c:v>
                </c:pt>
                <c:pt idx="3">
                  <c:v>3.4899305794212659E-2</c:v>
                </c:pt>
                <c:pt idx="4">
                  <c:v>4.1600797305656745E-2</c:v>
                </c:pt>
                <c:pt idx="5">
                  <c:v>4.7829747748986184E-2</c:v>
                </c:pt>
                <c:pt idx="6">
                  <c:v>5.3989964946044404E-2</c:v>
                </c:pt>
                <c:pt idx="7">
                  <c:v>5.9926799092721146E-2</c:v>
                </c:pt>
                <c:pt idx="8">
                  <c:v>6.5760533369991062E-2</c:v>
                </c:pt>
                <c:pt idx="9">
                  <c:v>7.1035810021307308E-2</c:v>
                </c:pt>
                <c:pt idx="10">
                  <c:v>7.6878135954361118E-2</c:v>
                </c:pt>
                <c:pt idx="11">
                  <c:v>8.2058904392054433E-2</c:v>
                </c:pt>
                <c:pt idx="12">
                  <c:v>8.7463055880129217E-2</c:v>
                </c:pt>
                <c:pt idx="13">
                  <c:v>9.4439480376658183E-2</c:v>
                </c:pt>
                <c:pt idx="14">
                  <c:v>0.10388171008316723</c:v>
                </c:pt>
                <c:pt idx="15">
                  <c:v>0.11523987902948656</c:v>
                </c:pt>
                <c:pt idx="16">
                  <c:v>0.12875455357756546</c:v>
                </c:pt>
                <c:pt idx="17">
                  <c:v>0.15015636813526703</c:v>
                </c:pt>
                <c:pt idx="18">
                  <c:v>0.18097463743212588</c:v>
                </c:pt>
                <c:pt idx="19">
                  <c:v>0.23755069076912502</c:v>
                </c:pt>
                <c:pt idx="20">
                  <c:v>0.35710358100213069</c:v>
                </c:pt>
                <c:pt idx="21">
                  <c:v>0.6803216715925493</c:v>
                </c:pt>
              </c:numCache>
            </c:numRef>
          </c:xVal>
          <c:yVal>
            <c:numRef>
              <c:f>'Run 1 (Alex)'!$F$274:$F$295</c:f>
              <c:numCache>
                <c:formatCode>General</c:formatCode>
                <c:ptCount val="22"/>
                <c:pt idx="0">
                  <c:v>12.929399999999999</c:v>
                </c:pt>
                <c:pt idx="1">
                  <c:v>10.1495</c:v>
                </c:pt>
                <c:pt idx="2">
                  <c:v>10.2774</c:v>
                </c:pt>
                <c:pt idx="3">
                  <c:v>10.2075</c:v>
                </c:pt>
                <c:pt idx="4">
                  <c:v>10.222099999999999</c:v>
                </c:pt>
                <c:pt idx="5">
                  <c:v>10.512</c:v>
                </c:pt>
                <c:pt idx="6">
                  <c:v>10.325100000000001</c:v>
                </c:pt>
                <c:pt idx="7">
                  <c:v>10.317500000000001</c:v>
                </c:pt>
                <c:pt idx="8">
                  <c:v>10.5304</c:v>
                </c:pt>
                <c:pt idx="9">
                  <c:v>10.337199999999999</c:v>
                </c:pt>
                <c:pt idx="10">
                  <c:v>10.3855</c:v>
                </c:pt>
                <c:pt idx="11">
                  <c:v>10.5015</c:v>
                </c:pt>
                <c:pt idx="12">
                  <c:v>10.667299999999999</c:v>
                </c:pt>
                <c:pt idx="13">
                  <c:v>10.420199999999999</c:v>
                </c:pt>
                <c:pt idx="14">
                  <c:v>10.5709</c:v>
                </c:pt>
                <c:pt idx="15">
                  <c:v>10.544700000000001</c:v>
                </c:pt>
                <c:pt idx="16">
                  <c:v>10.7797</c:v>
                </c:pt>
                <c:pt idx="17">
                  <c:v>12.6942</c:v>
                </c:pt>
                <c:pt idx="18">
                  <c:v>11.1668</c:v>
                </c:pt>
                <c:pt idx="19">
                  <c:v>11.6357</c:v>
                </c:pt>
                <c:pt idx="20">
                  <c:v>11.611499999999999</c:v>
                </c:pt>
                <c:pt idx="21">
                  <c:v>12.929399999999999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FA5-4CEB-90FE-30B40D564C24}"/>
            </c:ext>
          </c:extLst>
        </c:ser>
        <c:ser>
          <c:idx val="14"/>
          <c:order val="26"/>
          <c:tx>
            <c:strRef>
              <c:f>'Run 1 (Alex)'!$A$296</c:f>
              <c:strCache>
                <c:ptCount val="1"/>
                <c:pt idx="0">
                  <c:v>WildFriday</c:v>
                </c:pt>
              </c:strCache>
            </c:strRef>
          </c:tx>
          <c:spPr>
            <a:ln w="38100">
              <a:noFill/>
            </a:ln>
          </c:spPr>
          <c:xVal>
            <c:numRef>
              <c:f>'Run 1 (Alex)'!$H$296:$H$316</c:f>
              <c:numCache>
                <c:formatCode>General</c:formatCode>
                <c:ptCount val="21"/>
                <c:pt idx="0">
                  <c:v>1.9797256304080201E-2</c:v>
                </c:pt>
                <c:pt idx="1">
                  <c:v>2.3113488169357547E-2</c:v>
                </c:pt>
                <c:pt idx="2">
                  <c:v>2.9952111962584894E-2</c:v>
                </c:pt>
                <c:pt idx="3">
                  <c:v>3.6431428218011319E-2</c:v>
                </c:pt>
                <c:pt idx="4">
                  <c:v>4.3458541211396529E-2</c:v>
                </c:pt>
                <c:pt idx="5">
                  <c:v>5.0574008517355731E-2</c:v>
                </c:pt>
                <c:pt idx="6">
                  <c:v>5.7465644898127478E-2</c:v>
                </c:pt>
                <c:pt idx="7">
                  <c:v>6.4410293866443619E-2</c:v>
                </c:pt>
                <c:pt idx="8">
                  <c:v>7.0383045396445798E-2</c:v>
                </c:pt>
                <c:pt idx="9">
                  <c:v>7.7486732127395139E-2</c:v>
                </c:pt>
                <c:pt idx="10">
                  <c:v>8.3677424295079836E-2</c:v>
                </c:pt>
                <c:pt idx="11">
                  <c:v>9.0315778313139472E-2</c:v>
                </c:pt>
                <c:pt idx="12">
                  <c:v>9.9003952382915816E-2</c:v>
                </c:pt>
                <c:pt idx="13">
                  <c:v>0.11020727921729859</c:v>
                </c:pt>
                <c:pt idx="14">
                  <c:v>0.12467971561691925</c:v>
                </c:pt>
                <c:pt idx="15">
                  <c:v>0.14204428318146209</c:v>
                </c:pt>
                <c:pt idx="16">
                  <c:v>0.16995835566734013</c:v>
                </c:pt>
                <c:pt idx="17">
                  <c:v>0.21033627651365661</c:v>
                </c:pt>
                <c:pt idx="18">
                  <c:v>0.28100794599784412</c:v>
                </c:pt>
                <c:pt idx="19">
                  <c:v>0.42476041255573682</c:v>
                </c:pt>
                <c:pt idx="20">
                  <c:v>0.7919609356132673</c:v>
                </c:pt>
              </c:numCache>
            </c:numRef>
          </c:xVal>
          <c:yVal>
            <c:numRef>
              <c:f>'Run 1 (Alex)'!$F$296:$F$316</c:f>
              <c:numCache>
                <c:formatCode>General</c:formatCode>
                <c:ptCount val="21"/>
                <c:pt idx="0">
                  <c:v>10.406599999999999</c:v>
                </c:pt>
                <c:pt idx="1">
                  <c:v>10.438499999999999</c:v>
                </c:pt>
                <c:pt idx="2">
                  <c:v>10.3489</c:v>
                </c:pt>
                <c:pt idx="3">
                  <c:v>10.4193</c:v>
                </c:pt>
                <c:pt idx="4">
                  <c:v>10.5219</c:v>
                </c:pt>
                <c:pt idx="5">
                  <c:v>10.464600000000001</c:v>
                </c:pt>
                <c:pt idx="6">
                  <c:v>10.5383</c:v>
                </c:pt>
                <c:pt idx="7">
                  <c:v>10.7254</c:v>
                </c:pt>
                <c:pt idx="8">
                  <c:v>10.5801</c:v>
                </c:pt>
                <c:pt idx="9">
                  <c:v>10.5787</c:v>
                </c:pt>
                <c:pt idx="10">
                  <c:v>10.689299999999999</c:v>
                </c:pt>
                <c:pt idx="11">
                  <c:v>10.680400000000001</c:v>
                </c:pt>
                <c:pt idx="12">
                  <c:v>10.895799999999999</c:v>
                </c:pt>
                <c:pt idx="13">
                  <c:v>10.841900000000001</c:v>
                </c:pt>
                <c:pt idx="14">
                  <c:v>10.8847</c:v>
                </c:pt>
                <c:pt idx="15">
                  <c:v>11.033099999999999</c:v>
                </c:pt>
                <c:pt idx="16">
                  <c:v>11.336600000000001</c:v>
                </c:pt>
                <c:pt idx="17">
                  <c:v>11.453799999999999</c:v>
                </c:pt>
                <c:pt idx="18">
                  <c:v>11.793799999999999</c:v>
                </c:pt>
                <c:pt idx="19">
                  <c:v>12.5784</c:v>
                </c:pt>
                <c:pt idx="20">
                  <c:v>14.661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FA5-4CEB-90FE-30B40D564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6240"/>
        <c:axId val="1231545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2"/>
                <c:tx>
                  <c:strRef>
                    <c:extLst>
                      <c:ext uri="{02D57815-91ED-43cb-92C2-25804820EDAC}">
                        <c15:formulaRef>
                          <c15:sqref>'Run 1 (Alex)'!$A$2</c15:sqref>
                        </c15:formulaRef>
                      </c:ext>
                    </c:extLst>
                    <c:strCache>
                      <c:ptCount val="1"/>
                      <c:pt idx="0">
                        <c:v>Blue Marble</c:v>
                      </c:pt>
                    </c:strCache>
                  </c:strRef>
                </c:tx>
                <c:spPr>
                  <a:ln w="381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'Run 1 (Alex)'!$H$2:$H$21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4.6756732834593799E-2</c:v>
                      </c:pt>
                      <c:pt idx="1">
                        <c:v>4.905151764323315E-2</c:v>
                      </c:pt>
                      <c:pt idx="2">
                        <c:v>5.5529943531817977E-2</c:v>
                      </c:pt>
                      <c:pt idx="3">
                        <c:v>6.2566000665893851E-2</c:v>
                      </c:pt>
                      <c:pt idx="4">
                        <c:v>6.978819747303576E-2</c:v>
                      </c:pt>
                      <c:pt idx="5">
                        <c:v>7.717858396663306E-2</c:v>
                      </c:pt>
                      <c:pt idx="6">
                        <c:v>8.4454236846753419E-2</c:v>
                      </c:pt>
                      <c:pt idx="7">
                        <c:v>9.1696184266122097E-2</c:v>
                      </c:pt>
                      <c:pt idx="8">
                        <c:v>9.804333329338194E-2</c:v>
                      </c:pt>
                      <c:pt idx="9">
                        <c:v>0.10542516681530269</c:v>
                      </c:pt>
                      <c:pt idx="10">
                        <c:v>0.11192964550577068</c:v>
                      </c:pt>
                      <c:pt idx="11">
                        <c:v>0.11846760457878837</c:v>
                      </c:pt>
                      <c:pt idx="12">
                        <c:v>0.12719444916639755</c:v>
                      </c:pt>
                      <c:pt idx="13">
                        <c:v>0.13795088017112245</c:v>
                      </c:pt>
                      <c:pt idx="14">
                        <c:v>0.15127455314802532</c:v>
                      </c:pt>
                      <c:pt idx="15">
                        <c:v>0.16585084258868965</c:v>
                      </c:pt>
                      <c:pt idx="16">
                        <c:v>0.18859718941472969</c:v>
                      </c:pt>
                      <c:pt idx="17">
                        <c:v>0.22137060133186648</c:v>
                      </c:pt>
                      <c:pt idx="18">
                        <c:v>0.27865953101242819</c:v>
                      </c:pt>
                      <c:pt idx="19">
                        <c:v>0.40446800488037066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'Run 1 (Alex)'!$F$2:$F$21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2252.6417999999999</c:v>
                      </c:pt>
                      <c:pt idx="1">
                        <c:v>2263.6936000000001</c:v>
                      </c:pt>
                      <c:pt idx="2">
                        <c:v>2320.6194999999998</c:v>
                      </c:pt>
                      <c:pt idx="3">
                        <c:v>2182.9394000000002</c:v>
                      </c:pt>
                      <c:pt idx="4">
                        <c:v>2308.8571999999999</c:v>
                      </c:pt>
                      <c:pt idx="5">
                        <c:v>2208.998</c:v>
                      </c:pt>
                      <c:pt idx="6">
                        <c:v>2401.8978000000002</c:v>
                      </c:pt>
                      <c:pt idx="7">
                        <c:v>2493.2676000000001</c:v>
                      </c:pt>
                      <c:pt idx="8">
                        <c:v>2483.1712000000002</c:v>
                      </c:pt>
                      <c:pt idx="9">
                        <c:v>2375.1277</c:v>
                      </c:pt>
                      <c:pt idx="10">
                        <c:v>2282.8634999999999</c:v>
                      </c:pt>
                      <c:pt idx="11">
                        <c:v>2298.1257000000001</c:v>
                      </c:pt>
                      <c:pt idx="12">
                        <c:v>2249.194</c:v>
                      </c:pt>
                      <c:pt idx="13">
                        <c:v>2247.5951</c:v>
                      </c:pt>
                      <c:pt idx="14">
                        <c:v>2259.3852999999999</c:v>
                      </c:pt>
                      <c:pt idx="15">
                        <c:v>2280.5767000000001</c:v>
                      </c:pt>
                      <c:pt idx="16">
                        <c:v>2277.6689999999999</c:v>
                      </c:pt>
                      <c:pt idx="17">
                        <c:v>2344.8856000000001</c:v>
                      </c:pt>
                      <c:pt idx="18">
                        <c:v>2667.4666000000002</c:v>
                      </c:pt>
                      <c:pt idx="19">
                        <c:v>2527.1939000000002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9-FFA5-4CEB-90FE-30B40D564C24}"/>
                  </c:ext>
                </c:extLst>
              </c15:ser>
            </c15:filteredScatterSeries>
          </c:ext>
        </c:extLst>
      </c:scatterChart>
      <c:valAx>
        <c:axId val="1231546240"/>
        <c:scaling>
          <c:logBase val="2"/>
          <c:orientation val="minMax"/>
          <c:max val="10"/>
          <c:min val="3.90625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Compression Ratio[]</a:t>
                </a:r>
              </a:p>
            </c:rich>
          </c:tx>
          <c:layout>
            <c:manualLayout>
              <c:xMode val="edge"/>
              <c:yMode val="edge"/>
              <c:x val="0.46671621399273283"/>
              <c:y val="0.927348823664775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5280"/>
        <c:crosses val="autoZero"/>
        <c:crossBetween val="midCat"/>
      </c:valAx>
      <c:valAx>
        <c:axId val="1231545280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QFT Time [s]</a:t>
                </a:r>
              </a:p>
            </c:rich>
          </c:tx>
          <c:layout>
            <c:manualLayout>
              <c:xMode val="edge"/>
              <c:yMode val="edge"/>
              <c:x val="0.15808636450056118"/>
              <c:y val="0.406346528454952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2.3820142389815131E-2"/>
          <c:y val="2.9096848484458773E-2"/>
          <c:w val="0.14106147997212398"/>
          <c:h val="0.7383855814707623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137431</xdr:colOff>
      <xdr:row>24</xdr:row>
      <xdr:rowOff>68034</xdr:rowOff>
    </xdr:from>
    <xdr:to>
      <xdr:col>35</xdr:col>
      <xdr:colOff>190500</xdr:colOff>
      <xdr:row>47</xdr:row>
      <xdr:rowOff>40820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DF9AC-33B2-4924-B3C9-4B945FEE1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585108</xdr:colOff>
      <xdr:row>24</xdr:row>
      <xdr:rowOff>85724</xdr:rowOff>
    </xdr:from>
    <xdr:to>
      <xdr:col>23</xdr:col>
      <xdr:colOff>23132</xdr:colOff>
      <xdr:row>47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3DF2C-E620-49C1-8F78-90FE6FF2D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544286</xdr:colOff>
      <xdr:row>0</xdr:row>
      <xdr:rowOff>190499</xdr:rowOff>
    </xdr:from>
    <xdr:to>
      <xdr:col>23</xdr:col>
      <xdr:colOff>4081</xdr:colOff>
      <xdr:row>24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4F4EF8-5A6B-4885-A19D-CFB14A267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149679</xdr:colOff>
      <xdr:row>1</xdr:row>
      <xdr:rowOff>13608</xdr:rowOff>
    </xdr:from>
    <xdr:to>
      <xdr:col>35</xdr:col>
      <xdr:colOff>149679</xdr:colOff>
      <xdr:row>23</xdr:row>
      <xdr:rowOff>176894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103547-5911-4222-A2BE-043368F20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68037</xdr:colOff>
      <xdr:row>48</xdr:row>
      <xdr:rowOff>136072</xdr:rowOff>
    </xdr:from>
    <xdr:to>
      <xdr:col>24</xdr:col>
      <xdr:colOff>217714</xdr:colOff>
      <xdr:row>77</xdr:row>
      <xdr:rowOff>137433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F3780E-B2BF-49A9-B4A1-B90452D70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489858</xdr:colOff>
      <xdr:row>49</xdr:row>
      <xdr:rowOff>0</xdr:rowOff>
    </xdr:from>
    <xdr:to>
      <xdr:col>38</xdr:col>
      <xdr:colOff>27213</xdr:colOff>
      <xdr:row>78</xdr:row>
      <xdr:rowOff>1361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B3ABE9-47B7-4514-94B1-D2B885693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86591</xdr:colOff>
      <xdr:row>78</xdr:row>
      <xdr:rowOff>34637</xdr:rowOff>
    </xdr:from>
    <xdr:to>
      <xdr:col>24</xdr:col>
      <xdr:colOff>225136</xdr:colOff>
      <xdr:row>102</xdr:row>
      <xdr:rowOff>86591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0307DA-1DFD-4AD3-87CD-4F1989F01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363682</xdr:colOff>
      <xdr:row>78</xdr:row>
      <xdr:rowOff>121227</xdr:rowOff>
    </xdr:from>
    <xdr:to>
      <xdr:col>32</xdr:col>
      <xdr:colOff>554182</xdr:colOff>
      <xdr:row>102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AF9A61-7196-43D1-8756-61C24A0D5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137431</xdr:colOff>
      <xdr:row>24</xdr:row>
      <xdr:rowOff>68034</xdr:rowOff>
    </xdr:from>
    <xdr:to>
      <xdr:col>35</xdr:col>
      <xdr:colOff>190500</xdr:colOff>
      <xdr:row>47</xdr:row>
      <xdr:rowOff>40820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AF429-35EA-47E9-ABD3-C499EE239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585108</xdr:colOff>
      <xdr:row>24</xdr:row>
      <xdr:rowOff>85724</xdr:rowOff>
    </xdr:from>
    <xdr:to>
      <xdr:col>23</xdr:col>
      <xdr:colOff>23132</xdr:colOff>
      <xdr:row>47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63503-89A3-48A7-835A-D52A286EE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544286</xdr:colOff>
      <xdr:row>0</xdr:row>
      <xdr:rowOff>190499</xdr:rowOff>
    </xdr:from>
    <xdr:to>
      <xdr:col>23</xdr:col>
      <xdr:colOff>4081</xdr:colOff>
      <xdr:row>24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47783D-E148-4814-8A93-47E6CF7C1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149679</xdr:colOff>
      <xdr:row>1</xdr:row>
      <xdr:rowOff>13608</xdr:rowOff>
    </xdr:from>
    <xdr:to>
      <xdr:col>35</xdr:col>
      <xdr:colOff>149679</xdr:colOff>
      <xdr:row>23</xdr:row>
      <xdr:rowOff>176894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B9C566-A90B-4E6A-9E6B-00EDF9FA6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68037</xdr:colOff>
      <xdr:row>48</xdr:row>
      <xdr:rowOff>136072</xdr:rowOff>
    </xdr:from>
    <xdr:to>
      <xdr:col>24</xdr:col>
      <xdr:colOff>217714</xdr:colOff>
      <xdr:row>77</xdr:row>
      <xdr:rowOff>137433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8273C7-419B-4960-8879-75E85D521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489858</xdr:colOff>
      <xdr:row>49</xdr:row>
      <xdr:rowOff>0</xdr:rowOff>
    </xdr:from>
    <xdr:to>
      <xdr:col>38</xdr:col>
      <xdr:colOff>27213</xdr:colOff>
      <xdr:row>78</xdr:row>
      <xdr:rowOff>1361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2D08E5-A4B4-436F-ACD4-6F722A5A2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86591</xdr:colOff>
      <xdr:row>78</xdr:row>
      <xdr:rowOff>34637</xdr:rowOff>
    </xdr:from>
    <xdr:to>
      <xdr:col>24</xdr:col>
      <xdr:colOff>225136</xdr:colOff>
      <xdr:row>102</xdr:row>
      <xdr:rowOff>86591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F030E6-90FC-4CE2-A757-FA04B268E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363682</xdr:colOff>
      <xdr:row>78</xdr:row>
      <xdr:rowOff>121227</xdr:rowOff>
    </xdr:from>
    <xdr:to>
      <xdr:col>32</xdr:col>
      <xdr:colOff>554182</xdr:colOff>
      <xdr:row>102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20CF12-86BD-4FDA-B513-80D8326DB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137431</xdr:colOff>
      <xdr:row>24</xdr:row>
      <xdr:rowOff>68034</xdr:rowOff>
    </xdr:from>
    <xdr:to>
      <xdr:col>35</xdr:col>
      <xdr:colOff>190500</xdr:colOff>
      <xdr:row>47</xdr:row>
      <xdr:rowOff>40820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E916F-0DCC-366F-0074-7D6A9054D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585108</xdr:colOff>
      <xdr:row>24</xdr:row>
      <xdr:rowOff>85724</xdr:rowOff>
    </xdr:from>
    <xdr:to>
      <xdr:col>23</xdr:col>
      <xdr:colOff>23132</xdr:colOff>
      <xdr:row>47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8AD153-F9A0-42CA-87EE-F27E3346F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544286</xdr:colOff>
      <xdr:row>0</xdr:row>
      <xdr:rowOff>190499</xdr:rowOff>
    </xdr:from>
    <xdr:to>
      <xdr:col>23</xdr:col>
      <xdr:colOff>4081</xdr:colOff>
      <xdr:row>24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CD6FD7-AF27-445B-B0E8-9C26EDE31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149679</xdr:colOff>
      <xdr:row>1</xdr:row>
      <xdr:rowOff>13608</xdr:rowOff>
    </xdr:from>
    <xdr:to>
      <xdr:col>35</xdr:col>
      <xdr:colOff>149679</xdr:colOff>
      <xdr:row>23</xdr:row>
      <xdr:rowOff>176894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FED5B0-9D27-410E-B655-4C19D83F0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68037</xdr:colOff>
      <xdr:row>48</xdr:row>
      <xdr:rowOff>136072</xdr:rowOff>
    </xdr:from>
    <xdr:to>
      <xdr:col>24</xdr:col>
      <xdr:colOff>217714</xdr:colOff>
      <xdr:row>77</xdr:row>
      <xdr:rowOff>137433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D51D8C-DD40-40A1-92F6-6B3A96F35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478652</xdr:colOff>
      <xdr:row>49</xdr:row>
      <xdr:rowOff>89647</xdr:rowOff>
    </xdr:from>
    <xdr:to>
      <xdr:col>38</xdr:col>
      <xdr:colOff>16007</xdr:colOff>
      <xdr:row>78</xdr:row>
      <xdr:rowOff>91008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A91514-2243-4BEF-A7C3-CBE091664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102794</xdr:colOff>
      <xdr:row>24</xdr:row>
      <xdr:rowOff>103909</xdr:rowOff>
    </xdr:from>
    <xdr:to>
      <xdr:col>36</xdr:col>
      <xdr:colOff>259773</xdr:colOff>
      <xdr:row>47</xdr:row>
      <xdr:rowOff>110092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50B40-E1D9-45B2-9880-A768F4FBA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585108</xdr:colOff>
      <xdr:row>24</xdr:row>
      <xdr:rowOff>85724</xdr:rowOff>
    </xdr:from>
    <xdr:to>
      <xdr:col>23</xdr:col>
      <xdr:colOff>23132</xdr:colOff>
      <xdr:row>47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A3C76-6C96-418C-810D-C7AF01127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544286</xdr:colOff>
      <xdr:row>0</xdr:row>
      <xdr:rowOff>190499</xdr:rowOff>
    </xdr:from>
    <xdr:to>
      <xdr:col>23</xdr:col>
      <xdr:colOff>4081</xdr:colOff>
      <xdr:row>24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9BFD0C-0F14-4913-A973-8FC27AD25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149679</xdr:colOff>
      <xdr:row>0</xdr:row>
      <xdr:rowOff>138545</xdr:rowOff>
    </xdr:from>
    <xdr:to>
      <xdr:col>36</xdr:col>
      <xdr:colOff>277091</xdr:colOff>
      <xdr:row>23</xdr:row>
      <xdr:rowOff>176894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A183D5-7DD2-419A-9A13-DA32806DB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587582</xdr:colOff>
      <xdr:row>47</xdr:row>
      <xdr:rowOff>173182</xdr:rowOff>
    </xdr:from>
    <xdr:to>
      <xdr:col>23</xdr:col>
      <xdr:colOff>34637</xdr:colOff>
      <xdr:row>76</xdr:row>
      <xdr:rowOff>120115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7E8096-FA8F-4090-AB94-DB5E9FB21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97653</xdr:colOff>
      <xdr:row>47</xdr:row>
      <xdr:rowOff>176238</xdr:rowOff>
    </xdr:from>
    <xdr:to>
      <xdr:col>36</xdr:col>
      <xdr:colOff>241144</xdr:colOff>
      <xdr:row>76</xdr:row>
      <xdr:rowOff>177599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86BB20-E00C-463E-B3DC-4DE0FDAB5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0</xdr:rowOff>
    </xdr:from>
    <xdr:to>
      <xdr:col>16</xdr:col>
      <xdr:colOff>190500</xdr:colOff>
      <xdr:row>36</xdr:row>
      <xdr:rowOff>173182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EDF59-EE74-416B-B797-4CA6C18E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353785</xdr:colOff>
      <xdr:row>1</xdr:row>
      <xdr:rowOff>0</xdr:rowOff>
    </xdr:from>
    <xdr:to>
      <xdr:col>32</xdr:col>
      <xdr:colOff>380999</xdr:colOff>
      <xdr:row>36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E80E15-CA92-4F82-A01A-8CDBE0DA2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1FC2-042B-4D72-8020-769A0DED75E3}">
  <dimension ref="A1:J316"/>
  <sheetViews>
    <sheetView zoomScale="55" zoomScaleNormal="55" workbookViewId="0">
      <selection activeCell="AN41" sqref="AN41"/>
    </sheetView>
  </sheetViews>
  <sheetFormatPr defaultRowHeight="15" x14ac:dyDescent="0.25"/>
  <cols>
    <col min="8" max="8" width="19.28515625" customWidth="1"/>
    <col min="9" max="9" width="20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</row>
    <row r="2" spans="1:10" x14ac:dyDescent="0.25">
      <c r="A2" t="s">
        <v>22</v>
      </c>
      <c r="B2">
        <v>0</v>
      </c>
      <c r="C2">
        <v>177716.01</v>
      </c>
      <c r="D2">
        <v>8309.42</v>
      </c>
      <c r="E2">
        <v>3567.01</v>
      </c>
      <c r="F2">
        <v>2252.6417999999999</v>
      </c>
      <c r="G2">
        <v>4.3216000000000001</v>
      </c>
      <c r="H2">
        <f>D2/C2</f>
        <v>4.6756732834593799E-2</v>
      </c>
      <c r="I2">
        <f>E2/C2</f>
        <v>2.0071404934198105E-2</v>
      </c>
      <c r="J2">
        <f>D2-E2</f>
        <v>4742.41</v>
      </c>
    </row>
    <row r="3" spans="1:10" x14ac:dyDescent="0.25">
      <c r="A3" t="s">
        <v>22</v>
      </c>
      <c r="B3">
        <v>5</v>
      </c>
      <c r="C3">
        <v>177716.01</v>
      </c>
      <c r="D3">
        <v>8717.24</v>
      </c>
      <c r="E3">
        <v>3568.39</v>
      </c>
      <c r="F3">
        <v>2263.6936000000001</v>
      </c>
      <c r="G3">
        <v>4.4128999999999996</v>
      </c>
      <c r="H3">
        <f t="shared" ref="H3:H66" si="0">D3/C3</f>
        <v>4.905151764323315E-2</v>
      </c>
      <c r="I3">
        <f t="shared" ref="I3:I66" si="1">E3/C3</f>
        <v>2.0079170132167607E-2</v>
      </c>
      <c r="J3">
        <f t="shared" ref="J3:J66" si="2">D3-E3</f>
        <v>5148.8500000000004</v>
      </c>
    </row>
    <row r="4" spans="1:10" x14ac:dyDescent="0.25">
      <c r="A4" t="s">
        <v>22</v>
      </c>
      <c r="B4">
        <v>10</v>
      </c>
      <c r="C4">
        <v>177716.01</v>
      </c>
      <c r="D4">
        <v>9868.56</v>
      </c>
      <c r="E4">
        <v>3619.82</v>
      </c>
      <c r="F4">
        <v>2320.6194999999998</v>
      </c>
      <c r="G4">
        <v>4.6538000000000004</v>
      </c>
      <c r="H4">
        <f t="shared" si="0"/>
        <v>5.5529943531817977E-2</v>
      </c>
      <c r="I4">
        <f t="shared" si="1"/>
        <v>2.0368564430407816E-2</v>
      </c>
      <c r="J4">
        <f t="shared" si="2"/>
        <v>6248.74</v>
      </c>
    </row>
    <row r="5" spans="1:10" x14ac:dyDescent="0.25">
      <c r="A5" t="s">
        <v>22</v>
      </c>
      <c r="B5">
        <v>15</v>
      </c>
      <c r="C5">
        <v>177716.01</v>
      </c>
      <c r="D5">
        <v>11118.98</v>
      </c>
      <c r="E5">
        <v>3678.24</v>
      </c>
      <c r="F5">
        <v>2182.9394000000002</v>
      </c>
      <c r="G5">
        <v>4.3974000000000002</v>
      </c>
      <c r="H5">
        <f t="shared" si="0"/>
        <v>6.2566000665893851E-2</v>
      </c>
      <c r="I5">
        <f t="shared" si="1"/>
        <v>2.0697291144450066E-2</v>
      </c>
      <c r="J5">
        <f t="shared" si="2"/>
        <v>7440.74</v>
      </c>
    </row>
    <row r="6" spans="1:10" x14ac:dyDescent="0.25">
      <c r="A6" t="s">
        <v>22</v>
      </c>
      <c r="B6">
        <v>20</v>
      </c>
      <c r="C6">
        <v>177716.01</v>
      </c>
      <c r="D6">
        <v>12402.48</v>
      </c>
      <c r="E6">
        <v>3780</v>
      </c>
      <c r="F6">
        <v>2308.8571999999999</v>
      </c>
      <c r="G6">
        <v>4.5269000000000004</v>
      </c>
      <c r="H6">
        <f t="shared" si="0"/>
        <v>6.978819747303576E-2</v>
      </c>
      <c r="I6">
        <f t="shared" si="1"/>
        <v>2.1269890090375086E-2</v>
      </c>
      <c r="J6">
        <f t="shared" si="2"/>
        <v>8622.48</v>
      </c>
    </row>
    <row r="7" spans="1:10" x14ac:dyDescent="0.25">
      <c r="A7" t="s">
        <v>22</v>
      </c>
      <c r="B7">
        <v>25</v>
      </c>
      <c r="C7">
        <v>177716.01</v>
      </c>
      <c r="D7">
        <v>13715.87</v>
      </c>
      <c r="E7">
        <v>3873.76</v>
      </c>
      <c r="F7">
        <v>2208.998</v>
      </c>
      <c r="G7">
        <v>4.4931999999999999</v>
      </c>
      <c r="H7">
        <f t="shared" si="0"/>
        <v>7.717858396663306E-2</v>
      </c>
      <c r="I7">
        <f t="shared" si="1"/>
        <v>2.1797473395897195E-2</v>
      </c>
      <c r="J7">
        <f t="shared" si="2"/>
        <v>9842.11</v>
      </c>
    </row>
    <row r="8" spans="1:10" x14ac:dyDescent="0.25">
      <c r="A8" t="s">
        <v>22</v>
      </c>
      <c r="B8">
        <v>30</v>
      </c>
      <c r="C8">
        <v>177716.01</v>
      </c>
      <c r="D8">
        <v>15008.87</v>
      </c>
      <c r="E8">
        <v>3991.04</v>
      </c>
      <c r="F8">
        <v>2401.8978000000002</v>
      </c>
      <c r="G8">
        <v>4.7945000000000002</v>
      </c>
      <c r="H8">
        <f t="shared" si="0"/>
        <v>8.4454236846753419E-2</v>
      </c>
      <c r="I8">
        <f t="shared" si="1"/>
        <v>2.2457402684203858E-2</v>
      </c>
      <c r="J8">
        <f t="shared" si="2"/>
        <v>11017.830000000002</v>
      </c>
    </row>
    <row r="9" spans="1:10" x14ac:dyDescent="0.25">
      <c r="A9" t="s">
        <v>22</v>
      </c>
      <c r="B9">
        <v>35</v>
      </c>
      <c r="C9">
        <v>177716.01</v>
      </c>
      <c r="D9">
        <v>16295.88</v>
      </c>
      <c r="E9">
        <v>4121</v>
      </c>
      <c r="F9">
        <v>2493.2676000000001</v>
      </c>
      <c r="G9">
        <v>4.6647999999999996</v>
      </c>
      <c r="H9">
        <f t="shared" si="0"/>
        <v>9.1696184266122097E-2</v>
      </c>
      <c r="I9">
        <f t="shared" si="1"/>
        <v>2.3188681762549134E-2</v>
      </c>
      <c r="J9">
        <f t="shared" si="2"/>
        <v>12174.88</v>
      </c>
    </row>
    <row r="10" spans="1:10" x14ac:dyDescent="0.25">
      <c r="A10" t="s">
        <v>22</v>
      </c>
      <c r="B10">
        <v>40</v>
      </c>
      <c r="C10">
        <v>177716.01</v>
      </c>
      <c r="D10">
        <v>17423.87</v>
      </c>
      <c r="E10">
        <v>4216.2299999999996</v>
      </c>
      <c r="F10">
        <v>2483.1712000000002</v>
      </c>
      <c r="G10">
        <v>4.8502999999999998</v>
      </c>
      <c r="H10">
        <f t="shared" si="0"/>
        <v>9.804333329338194E-2</v>
      </c>
      <c r="I10">
        <f t="shared" si="1"/>
        <v>2.3724536691995275E-2</v>
      </c>
      <c r="J10">
        <f t="shared" si="2"/>
        <v>13207.64</v>
      </c>
    </row>
    <row r="11" spans="1:10" x14ac:dyDescent="0.25">
      <c r="A11" t="s">
        <v>22</v>
      </c>
      <c r="B11">
        <v>45</v>
      </c>
      <c r="C11">
        <v>177716.01</v>
      </c>
      <c r="D11">
        <v>18735.740000000002</v>
      </c>
      <c r="E11">
        <v>4354.12</v>
      </c>
      <c r="F11">
        <v>2375.1277</v>
      </c>
      <c r="G11">
        <v>4.8861999999999997</v>
      </c>
      <c r="H11">
        <f t="shared" si="0"/>
        <v>0.10542516681530269</v>
      </c>
      <c r="I11">
        <f t="shared" si="1"/>
        <v>2.4500437523889938E-2</v>
      </c>
      <c r="J11">
        <f t="shared" si="2"/>
        <v>14381.620000000003</v>
      </c>
    </row>
    <row r="12" spans="1:10" x14ac:dyDescent="0.25">
      <c r="A12" t="s">
        <v>22</v>
      </c>
      <c r="B12">
        <v>50</v>
      </c>
      <c r="C12">
        <v>177716.01</v>
      </c>
      <c r="D12">
        <v>19891.689999999999</v>
      </c>
      <c r="E12">
        <v>4479.96</v>
      </c>
      <c r="F12">
        <v>2282.8634999999999</v>
      </c>
      <c r="G12">
        <v>4.8863000000000003</v>
      </c>
      <c r="H12">
        <f t="shared" si="0"/>
        <v>0.11192964550577068</v>
      </c>
      <c r="I12">
        <f t="shared" si="1"/>
        <v>2.5208533547427719E-2</v>
      </c>
      <c r="J12">
        <f t="shared" si="2"/>
        <v>15411.73</v>
      </c>
    </row>
    <row r="13" spans="1:10" x14ac:dyDescent="0.25">
      <c r="A13" t="s">
        <v>22</v>
      </c>
      <c r="B13">
        <v>55</v>
      </c>
      <c r="C13">
        <v>177716.01</v>
      </c>
      <c r="D13">
        <v>21053.59</v>
      </c>
      <c r="E13">
        <v>4614.75</v>
      </c>
      <c r="F13">
        <v>2298.1257000000001</v>
      </c>
      <c r="G13">
        <v>5.0194999999999999</v>
      </c>
      <c r="H13">
        <f t="shared" si="0"/>
        <v>0.11846760457878837</v>
      </c>
      <c r="I13">
        <f t="shared" si="1"/>
        <v>2.5966990818666252E-2</v>
      </c>
      <c r="J13">
        <f t="shared" si="2"/>
        <v>16438.84</v>
      </c>
    </row>
    <row r="14" spans="1:10" x14ac:dyDescent="0.25">
      <c r="A14" t="s">
        <v>22</v>
      </c>
      <c r="B14">
        <v>60</v>
      </c>
      <c r="C14">
        <v>177716.01</v>
      </c>
      <c r="D14">
        <v>22604.49</v>
      </c>
      <c r="E14">
        <v>4812.2299999999996</v>
      </c>
      <c r="F14">
        <v>2249.194</v>
      </c>
      <c r="G14">
        <v>4.9855</v>
      </c>
      <c r="H14">
        <f t="shared" si="0"/>
        <v>0.12719444916639755</v>
      </c>
      <c r="I14">
        <f t="shared" si="1"/>
        <v>2.707820190201209E-2</v>
      </c>
      <c r="J14">
        <f t="shared" si="2"/>
        <v>17792.260000000002</v>
      </c>
    </row>
    <row r="15" spans="1:10" x14ac:dyDescent="0.25">
      <c r="A15" t="s">
        <v>22</v>
      </c>
      <c r="B15">
        <v>65</v>
      </c>
      <c r="C15">
        <v>177716.01</v>
      </c>
      <c r="D15">
        <v>24516.080000000002</v>
      </c>
      <c r="E15">
        <v>5045.9799999999996</v>
      </c>
      <c r="F15">
        <v>2247.5951</v>
      </c>
      <c r="G15">
        <v>4.9032999999999998</v>
      </c>
      <c r="H15">
        <f t="shared" si="0"/>
        <v>0.13795088017112245</v>
      </c>
      <c r="I15">
        <f t="shared" si="1"/>
        <v>2.839350264503462E-2</v>
      </c>
      <c r="J15">
        <f t="shared" si="2"/>
        <v>19470.100000000002</v>
      </c>
    </row>
    <row r="16" spans="1:10" x14ac:dyDescent="0.25">
      <c r="A16" t="s">
        <v>22</v>
      </c>
      <c r="B16">
        <v>70</v>
      </c>
      <c r="C16">
        <v>177716.01</v>
      </c>
      <c r="D16">
        <v>26883.91</v>
      </c>
      <c r="E16">
        <v>5365.96</v>
      </c>
      <c r="F16">
        <v>2259.3852999999999</v>
      </c>
      <c r="G16">
        <v>4.9217000000000004</v>
      </c>
      <c r="H16">
        <f t="shared" si="0"/>
        <v>0.15127455314802532</v>
      </c>
      <c r="I16">
        <f t="shared" si="1"/>
        <v>3.0194015722050025E-2</v>
      </c>
      <c r="J16">
        <f t="shared" si="2"/>
        <v>21517.95</v>
      </c>
    </row>
    <row r="17" spans="1:10" x14ac:dyDescent="0.25">
      <c r="A17" t="s">
        <v>22</v>
      </c>
      <c r="B17">
        <v>75</v>
      </c>
      <c r="C17">
        <v>177716.01</v>
      </c>
      <c r="D17">
        <v>29474.35</v>
      </c>
      <c r="E17">
        <v>5757.01</v>
      </c>
      <c r="F17">
        <v>2280.5767000000001</v>
      </c>
      <c r="G17">
        <v>4.9562999999999997</v>
      </c>
      <c r="H17">
        <f t="shared" si="0"/>
        <v>0.16585084258868965</v>
      </c>
      <c r="I17">
        <f t="shared" si="1"/>
        <v>3.2394436494494784E-2</v>
      </c>
      <c r="J17">
        <f t="shared" si="2"/>
        <v>23717.339999999997</v>
      </c>
    </row>
    <row r="18" spans="1:10" x14ac:dyDescent="0.25">
      <c r="A18" t="s">
        <v>22</v>
      </c>
      <c r="B18">
        <v>80</v>
      </c>
      <c r="C18">
        <v>177716.01</v>
      </c>
      <c r="D18">
        <v>33516.74</v>
      </c>
      <c r="E18">
        <v>6409.7</v>
      </c>
      <c r="F18">
        <v>2277.6689999999999</v>
      </c>
      <c r="G18">
        <v>5.0934999999999997</v>
      </c>
      <c r="H18">
        <f t="shared" si="0"/>
        <v>0.18859718941472969</v>
      </c>
      <c r="I18">
        <f t="shared" si="1"/>
        <v>3.6067093786316715E-2</v>
      </c>
      <c r="J18">
        <f t="shared" si="2"/>
        <v>27107.039999999997</v>
      </c>
    </row>
    <row r="19" spans="1:10" x14ac:dyDescent="0.25">
      <c r="A19" t="s">
        <v>22</v>
      </c>
      <c r="B19">
        <v>85</v>
      </c>
      <c r="C19">
        <v>177716.01</v>
      </c>
      <c r="D19">
        <v>39341.1</v>
      </c>
      <c r="E19">
        <v>7431.39</v>
      </c>
      <c r="F19">
        <v>2344.8856000000001</v>
      </c>
      <c r="G19">
        <v>5.0377000000000001</v>
      </c>
      <c r="H19">
        <f t="shared" si="0"/>
        <v>0.22137060133186648</v>
      </c>
      <c r="I19">
        <f t="shared" si="1"/>
        <v>4.1816097491722888E-2</v>
      </c>
      <c r="J19">
        <f t="shared" si="2"/>
        <v>31909.71</v>
      </c>
    </row>
    <row r="20" spans="1:10" x14ac:dyDescent="0.25">
      <c r="A20" t="s">
        <v>22</v>
      </c>
      <c r="B20">
        <v>90</v>
      </c>
      <c r="C20">
        <v>177716.01</v>
      </c>
      <c r="D20">
        <v>49522.26</v>
      </c>
      <c r="E20">
        <v>9323.19</v>
      </c>
      <c r="F20">
        <v>2667.4666000000002</v>
      </c>
      <c r="G20">
        <v>5.2694000000000001</v>
      </c>
      <c r="H20">
        <f t="shared" si="0"/>
        <v>0.27865953101242819</v>
      </c>
      <c r="I20">
        <f t="shared" si="1"/>
        <v>5.2461171056001087E-2</v>
      </c>
      <c r="J20">
        <f t="shared" si="2"/>
        <v>40199.07</v>
      </c>
    </row>
    <row r="21" spans="1:10" x14ac:dyDescent="0.25">
      <c r="A21" t="s">
        <v>22</v>
      </c>
      <c r="B21">
        <v>95</v>
      </c>
      <c r="C21">
        <v>177716.01</v>
      </c>
      <c r="D21">
        <v>71880.44</v>
      </c>
      <c r="E21">
        <v>13954.49</v>
      </c>
      <c r="F21">
        <v>2527.1939000000002</v>
      </c>
      <c r="G21">
        <v>5.4040999999999997</v>
      </c>
      <c r="H21">
        <f t="shared" si="0"/>
        <v>0.40446800488037066</v>
      </c>
      <c r="I21">
        <f t="shared" si="1"/>
        <v>7.8521287980750851E-2</v>
      </c>
      <c r="J21">
        <f t="shared" si="2"/>
        <v>57925.950000000004</v>
      </c>
    </row>
    <row r="22" spans="1:10" x14ac:dyDescent="0.25">
      <c r="A22" t="s">
        <v>22</v>
      </c>
      <c r="B22">
        <v>100</v>
      </c>
      <c r="C22">
        <v>177716.01</v>
      </c>
      <c r="D22">
        <v>130227.27</v>
      </c>
      <c r="E22">
        <v>35662.51</v>
      </c>
      <c r="F22">
        <v>2831.7997999999998</v>
      </c>
      <c r="G22">
        <v>4.5515999999999996</v>
      </c>
      <c r="H22">
        <f t="shared" si="0"/>
        <v>0.73278299462158758</v>
      </c>
      <c r="I22">
        <f t="shared" si="1"/>
        <v>0.2006713407531488</v>
      </c>
      <c r="J22">
        <f t="shared" si="2"/>
        <v>94564.760000000009</v>
      </c>
    </row>
    <row r="23" spans="1:10" x14ac:dyDescent="0.25">
      <c r="A23" t="s">
        <v>16</v>
      </c>
      <c r="B23">
        <v>0</v>
      </c>
      <c r="C23">
        <v>51.7</v>
      </c>
      <c r="D23">
        <v>28.69</v>
      </c>
      <c r="E23">
        <v>11.51</v>
      </c>
      <c r="F23">
        <v>5.7782</v>
      </c>
      <c r="G23">
        <v>1.37E-2</v>
      </c>
      <c r="H23">
        <f t="shared" si="0"/>
        <v>0.55493230174081243</v>
      </c>
      <c r="I23">
        <f t="shared" si="1"/>
        <v>0.22263056092843325</v>
      </c>
      <c r="J23">
        <f t="shared" si="2"/>
        <v>17.18</v>
      </c>
    </row>
    <row r="24" spans="1:10" x14ac:dyDescent="0.25">
      <c r="A24" t="s">
        <v>16</v>
      </c>
      <c r="B24">
        <v>5</v>
      </c>
      <c r="C24">
        <v>51.7</v>
      </c>
      <c r="D24">
        <v>31.21</v>
      </c>
      <c r="E24">
        <v>11.65</v>
      </c>
      <c r="F24">
        <v>5.5796999999999999</v>
      </c>
      <c r="G24">
        <v>1.8499999999999999E-2</v>
      </c>
      <c r="H24">
        <f t="shared" si="0"/>
        <v>0.60367504835589936</v>
      </c>
      <c r="I24">
        <f t="shared" si="1"/>
        <v>0.22533849129593811</v>
      </c>
      <c r="J24">
        <f t="shared" si="2"/>
        <v>19.560000000000002</v>
      </c>
    </row>
    <row r="25" spans="1:10" x14ac:dyDescent="0.25">
      <c r="A25" t="s">
        <v>16</v>
      </c>
      <c r="B25">
        <v>10</v>
      </c>
      <c r="C25">
        <v>51.7</v>
      </c>
      <c r="D25">
        <v>35.69</v>
      </c>
      <c r="E25">
        <v>12.66</v>
      </c>
      <c r="F25">
        <v>5.7305000000000001</v>
      </c>
      <c r="G25">
        <v>1.8200000000000001E-2</v>
      </c>
      <c r="H25">
        <f t="shared" si="0"/>
        <v>0.69032882011605412</v>
      </c>
      <c r="I25">
        <f t="shared" si="1"/>
        <v>0.24487427466150868</v>
      </c>
      <c r="J25">
        <f t="shared" si="2"/>
        <v>23.029999999999998</v>
      </c>
    </row>
    <row r="26" spans="1:10" x14ac:dyDescent="0.25">
      <c r="A26" t="s">
        <v>16</v>
      </c>
      <c r="B26">
        <v>15</v>
      </c>
      <c r="C26">
        <v>51.7</v>
      </c>
      <c r="D26">
        <v>39.75</v>
      </c>
      <c r="E26">
        <v>13.6</v>
      </c>
      <c r="F26">
        <v>5.7153</v>
      </c>
      <c r="G26">
        <v>1.2999999999999999E-2</v>
      </c>
      <c r="H26">
        <f t="shared" si="0"/>
        <v>0.7688588007736944</v>
      </c>
      <c r="I26">
        <f t="shared" si="1"/>
        <v>0.26305609284332687</v>
      </c>
      <c r="J26">
        <f t="shared" si="2"/>
        <v>26.15</v>
      </c>
    </row>
    <row r="27" spans="1:10" x14ac:dyDescent="0.25">
      <c r="A27" t="s">
        <v>16</v>
      </c>
      <c r="B27">
        <v>20</v>
      </c>
      <c r="C27">
        <v>51.7</v>
      </c>
      <c r="D27">
        <v>42.85</v>
      </c>
      <c r="E27">
        <v>14.42</v>
      </c>
      <c r="F27">
        <v>5.5023999999999997</v>
      </c>
      <c r="G27">
        <v>1.3599999999999999E-2</v>
      </c>
      <c r="H27">
        <f t="shared" si="0"/>
        <v>0.82882011605415862</v>
      </c>
      <c r="I27">
        <f t="shared" si="1"/>
        <v>0.27891682785299804</v>
      </c>
      <c r="J27">
        <f t="shared" si="2"/>
        <v>28.43</v>
      </c>
    </row>
    <row r="28" spans="1:10" x14ac:dyDescent="0.25">
      <c r="A28" t="s">
        <v>16</v>
      </c>
      <c r="B28">
        <v>25</v>
      </c>
      <c r="C28">
        <v>51.7</v>
      </c>
      <c r="D28">
        <v>46.01</v>
      </c>
      <c r="E28">
        <v>15.27</v>
      </c>
      <c r="F28">
        <v>5.5646000000000004</v>
      </c>
      <c r="G28">
        <v>1.5599999999999999E-2</v>
      </c>
      <c r="H28">
        <f t="shared" si="0"/>
        <v>0.88994197292069621</v>
      </c>
      <c r="I28">
        <f t="shared" si="1"/>
        <v>0.29535783365570595</v>
      </c>
      <c r="J28">
        <f t="shared" si="2"/>
        <v>30.74</v>
      </c>
    </row>
    <row r="29" spans="1:10" x14ac:dyDescent="0.25">
      <c r="A29" t="s">
        <v>16</v>
      </c>
      <c r="B29">
        <v>30</v>
      </c>
      <c r="C29">
        <v>51.7</v>
      </c>
      <c r="D29">
        <v>48.81</v>
      </c>
      <c r="E29">
        <v>15.89</v>
      </c>
      <c r="F29">
        <v>5.5358999999999998</v>
      </c>
      <c r="G29">
        <v>1.2E-2</v>
      </c>
      <c r="H29">
        <f t="shared" si="0"/>
        <v>0.94410058027079302</v>
      </c>
      <c r="I29">
        <f t="shared" si="1"/>
        <v>0.30735009671179886</v>
      </c>
      <c r="J29">
        <f t="shared" si="2"/>
        <v>32.92</v>
      </c>
    </row>
    <row r="30" spans="1:10" x14ac:dyDescent="0.25">
      <c r="A30" t="s">
        <v>16</v>
      </c>
      <c r="B30">
        <v>35</v>
      </c>
      <c r="C30">
        <v>51.7</v>
      </c>
      <c r="D30">
        <v>50.97</v>
      </c>
      <c r="E30">
        <v>16.64</v>
      </c>
      <c r="F30">
        <v>5.7977999999999996</v>
      </c>
      <c r="G30">
        <v>6.0000000000000001E-3</v>
      </c>
      <c r="H30">
        <f t="shared" si="0"/>
        <v>0.98588007736943895</v>
      </c>
      <c r="I30">
        <f t="shared" si="1"/>
        <v>0.32185686653771761</v>
      </c>
      <c r="J30">
        <f t="shared" si="2"/>
        <v>34.33</v>
      </c>
    </row>
    <row r="31" spans="1:10" x14ac:dyDescent="0.25">
      <c r="A31" t="s">
        <v>16</v>
      </c>
      <c r="B31">
        <v>40</v>
      </c>
      <c r="C31">
        <v>51.7</v>
      </c>
      <c r="D31">
        <v>53.2</v>
      </c>
      <c r="E31">
        <v>17.22</v>
      </c>
      <c r="F31">
        <v>7.2751999999999999</v>
      </c>
      <c r="G31">
        <v>8.0000000000000002E-3</v>
      </c>
      <c r="H31">
        <f t="shared" si="0"/>
        <v>1.0290135396518376</v>
      </c>
      <c r="I31">
        <f t="shared" si="1"/>
        <v>0.33307543520309474</v>
      </c>
      <c r="J31">
        <f t="shared" si="2"/>
        <v>35.980000000000004</v>
      </c>
    </row>
    <row r="32" spans="1:10" x14ac:dyDescent="0.25">
      <c r="A32" t="s">
        <v>16</v>
      </c>
      <c r="B32">
        <v>45</v>
      </c>
      <c r="C32">
        <v>51.7</v>
      </c>
      <c r="D32">
        <v>55.17</v>
      </c>
      <c r="E32">
        <v>17.91</v>
      </c>
      <c r="F32">
        <v>8.4886999999999997</v>
      </c>
      <c r="G32">
        <v>0</v>
      </c>
      <c r="H32">
        <f t="shared" si="0"/>
        <v>1.067117988394584</v>
      </c>
      <c r="I32">
        <f t="shared" si="1"/>
        <v>0.34642166344294001</v>
      </c>
      <c r="J32">
        <f t="shared" si="2"/>
        <v>37.260000000000005</v>
      </c>
    </row>
    <row r="33" spans="1:10" x14ac:dyDescent="0.25">
      <c r="A33" t="s">
        <v>16</v>
      </c>
      <c r="B33">
        <v>50</v>
      </c>
      <c r="C33">
        <v>51.7</v>
      </c>
      <c r="D33">
        <v>56.89</v>
      </c>
      <c r="E33">
        <v>18.54</v>
      </c>
      <c r="F33">
        <v>5.7961999999999998</v>
      </c>
      <c r="G33">
        <v>0</v>
      </c>
      <c r="H33">
        <f t="shared" si="0"/>
        <v>1.1003868471953577</v>
      </c>
      <c r="I33">
        <f t="shared" si="1"/>
        <v>0.35860735009671174</v>
      </c>
      <c r="J33">
        <f t="shared" si="2"/>
        <v>38.35</v>
      </c>
    </row>
    <row r="34" spans="1:10" x14ac:dyDescent="0.25">
      <c r="A34" t="s">
        <v>16</v>
      </c>
      <c r="B34">
        <v>55</v>
      </c>
      <c r="C34">
        <v>51.7</v>
      </c>
      <c r="D34">
        <v>59.09</v>
      </c>
      <c r="E34">
        <v>19.18</v>
      </c>
      <c r="F34">
        <v>5.6901999999999999</v>
      </c>
      <c r="G34">
        <v>7.7999999999999996E-3</v>
      </c>
      <c r="H34">
        <f t="shared" si="0"/>
        <v>1.1429400386847195</v>
      </c>
      <c r="I34">
        <f t="shared" si="1"/>
        <v>0.37098646034816246</v>
      </c>
      <c r="J34">
        <f t="shared" si="2"/>
        <v>39.910000000000004</v>
      </c>
    </row>
    <row r="35" spans="1:10" x14ac:dyDescent="0.25">
      <c r="A35" t="s">
        <v>16</v>
      </c>
      <c r="B35">
        <v>60</v>
      </c>
      <c r="C35">
        <v>51.7</v>
      </c>
      <c r="D35">
        <v>61.7</v>
      </c>
      <c r="E35">
        <v>19.989999999999998</v>
      </c>
      <c r="F35">
        <v>5.7182000000000004</v>
      </c>
      <c r="G35">
        <v>6.0000000000000001E-3</v>
      </c>
      <c r="H35">
        <f t="shared" si="0"/>
        <v>1.1934235976789169</v>
      </c>
      <c r="I35">
        <f t="shared" si="1"/>
        <v>0.3866537717601547</v>
      </c>
      <c r="J35">
        <f t="shared" si="2"/>
        <v>41.710000000000008</v>
      </c>
    </row>
    <row r="36" spans="1:10" x14ac:dyDescent="0.25">
      <c r="A36" t="s">
        <v>16</v>
      </c>
      <c r="B36">
        <v>65</v>
      </c>
      <c r="C36">
        <v>51.7</v>
      </c>
      <c r="D36">
        <v>64.83</v>
      </c>
      <c r="E36">
        <v>21.02</v>
      </c>
      <c r="F36">
        <v>5.7389000000000001</v>
      </c>
      <c r="G36">
        <v>6.0000000000000001E-3</v>
      </c>
      <c r="H36">
        <f t="shared" si="0"/>
        <v>1.2539651837524177</v>
      </c>
      <c r="I36">
        <f t="shared" si="1"/>
        <v>0.40657640232108316</v>
      </c>
      <c r="J36">
        <f t="shared" si="2"/>
        <v>43.81</v>
      </c>
    </row>
    <row r="37" spans="1:10" x14ac:dyDescent="0.25">
      <c r="A37" t="s">
        <v>16</v>
      </c>
      <c r="B37">
        <v>70</v>
      </c>
      <c r="C37">
        <v>51.7</v>
      </c>
      <c r="D37">
        <v>68.62</v>
      </c>
      <c r="E37">
        <v>22.27</v>
      </c>
      <c r="F37">
        <v>5.899</v>
      </c>
      <c r="G37">
        <v>1.1299999999999999E-2</v>
      </c>
      <c r="H37">
        <f t="shared" si="0"/>
        <v>1.3272727272727274</v>
      </c>
      <c r="I37">
        <f t="shared" si="1"/>
        <v>0.43075435203094775</v>
      </c>
      <c r="J37">
        <f t="shared" si="2"/>
        <v>46.350000000000009</v>
      </c>
    </row>
    <row r="38" spans="1:10" x14ac:dyDescent="0.25">
      <c r="A38" t="s">
        <v>16</v>
      </c>
      <c r="B38">
        <v>75</v>
      </c>
      <c r="C38">
        <v>51.7</v>
      </c>
      <c r="D38">
        <v>72.819999999999993</v>
      </c>
      <c r="E38">
        <v>23.82</v>
      </c>
      <c r="F38">
        <v>5.6573000000000002</v>
      </c>
      <c r="G38">
        <v>0</v>
      </c>
      <c r="H38">
        <f t="shared" si="0"/>
        <v>1.408510638297872</v>
      </c>
      <c r="I38">
        <f t="shared" si="1"/>
        <v>0.46073500967117986</v>
      </c>
      <c r="J38">
        <f t="shared" si="2"/>
        <v>48.999999999999993</v>
      </c>
    </row>
    <row r="39" spans="1:10" x14ac:dyDescent="0.25">
      <c r="A39" t="s">
        <v>16</v>
      </c>
      <c r="B39">
        <v>80</v>
      </c>
      <c r="C39">
        <v>51.7</v>
      </c>
      <c r="D39">
        <v>77.91</v>
      </c>
      <c r="E39">
        <v>26.42</v>
      </c>
      <c r="F39">
        <v>5.6708999999999996</v>
      </c>
      <c r="G39">
        <v>0</v>
      </c>
      <c r="H39">
        <f t="shared" si="0"/>
        <v>1.5069632495164409</v>
      </c>
      <c r="I39">
        <f t="shared" si="1"/>
        <v>0.51102514506769825</v>
      </c>
      <c r="J39">
        <f t="shared" si="2"/>
        <v>51.489999999999995</v>
      </c>
    </row>
    <row r="40" spans="1:10" x14ac:dyDescent="0.25">
      <c r="A40" t="s">
        <v>16</v>
      </c>
      <c r="B40">
        <v>85</v>
      </c>
      <c r="C40">
        <v>51.7</v>
      </c>
      <c r="D40">
        <v>84.6</v>
      </c>
      <c r="E40">
        <v>30.06</v>
      </c>
      <c r="F40">
        <v>5.6718000000000002</v>
      </c>
      <c r="G40">
        <v>1.9599999999999999E-2</v>
      </c>
      <c r="H40">
        <f t="shared" si="0"/>
        <v>1.6363636363636362</v>
      </c>
      <c r="I40">
        <f t="shared" si="1"/>
        <v>0.58143133462282393</v>
      </c>
      <c r="J40">
        <f t="shared" si="2"/>
        <v>54.539999999999992</v>
      </c>
    </row>
    <row r="41" spans="1:10" x14ac:dyDescent="0.25">
      <c r="A41" t="s">
        <v>16</v>
      </c>
      <c r="B41">
        <v>90</v>
      </c>
      <c r="C41">
        <v>51.7</v>
      </c>
      <c r="D41">
        <v>98.54</v>
      </c>
      <c r="E41">
        <v>36.57</v>
      </c>
      <c r="F41">
        <v>5.9180000000000001</v>
      </c>
      <c r="G41">
        <v>2.12E-2</v>
      </c>
      <c r="H41">
        <f t="shared" si="0"/>
        <v>1.9059961315280465</v>
      </c>
      <c r="I41">
        <f t="shared" si="1"/>
        <v>0.70735009671179883</v>
      </c>
      <c r="J41">
        <f t="shared" si="2"/>
        <v>61.970000000000006</v>
      </c>
    </row>
    <row r="42" spans="1:10" x14ac:dyDescent="0.25">
      <c r="A42" t="s">
        <v>16</v>
      </c>
      <c r="B42">
        <v>95</v>
      </c>
      <c r="C42">
        <v>51.7</v>
      </c>
      <c r="D42">
        <v>126.09</v>
      </c>
      <c r="E42">
        <v>50.8</v>
      </c>
      <c r="F42">
        <v>5.9029999999999996</v>
      </c>
      <c r="G42">
        <v>1.84E-2</v>
      </c>
      <c r="H42">
        <f t="shared" si="0"/>
        <v>2.4388781431334623</v>
      </c>
      <c r="I42">
        <f t="shared" si="1"/>
        <v>0.98259187620889743</v>
      </c>
      <c r="J42">
        <f t="shared" si="2"/>
        <v>75.290000000000006</v>
      </c>
    </row>
    <row r="43" spans="1:10" x14ac:dyDescent="0.25">
      <c r="A43" t="s">
        <v>16</v>
      </c>
      <c r="B43">
        <v>100</v>
      </c>
      <c r="C43">
        <v>51.7</v>
      </c>
      <c r="D43">
        <v>189.78</v>
      </c>
      <c r="E43">
        <v>100.33</v>
      </c>
      <c r="F43">
        <v>6.1132999999999997</v>
      </c>
      <c r="G43">
        <v>1.0500000000000001E-2</v>
      </c>
      <c r="H43">
        <f t="shared" si="0"/>
        <v>3.6707930367504833</v>
      </c>
      <c r="I43">
        <f t="shared" si="1"/>
        <v>1.9406189555125724</v>
      </c>
      <c r="J43">
        <f t="shared" si="2"/>
        <v>89.45</v>
      </c>
    </row>
    <row r="44" spans="1:10" x14ac:dyDescent="0.25">
      <c r="A44" t="s">
        <v>11</v>
      </c>
      <c r="B44">
        <v>0</v>
      </c>
      <c r="C44">
        <v>1911.63</v>
      </c>
      <c r="D44">
        <v>56.49</v>
      </c>
      <c r="E44">
        <v>22.08</v>
      </c>
      <c r="F44">
        <v>10.945600000000001</v>
      </c>
      <c r="G44">
        <v>7.6E-3</v>
      </c>
      <c r="H44">
        <f t="shared" si="0"/>
        <v>2.9550697572228935E-2</v>
      </c>
      <c r="I44">
        <f t="shared" si="1"/>
        <v>1.1550352317132497E-2</v>
      </c>
      <c r="J44">
        <f t="shared" si="2"/>
        <v>34.410000000000004</v>
      </c>
    </row>
    <row r="45" spans="1:10" x14ac:dyDescent="0.25">
      <c r="A45" t="s">
        <v>11</v>
      </c>
      <c r="B45">
        <v>5</v>
      </c>
      <c r="C45">
        <v>1911.63</v>
      </c>
      <c r="D45">
        <v>67.41</v>
      </c>
      <c r="E45">
        <v>22.18</v>
      </c>
      <c r="F45">
        <v>10.9808</v>
      </c>
      <c r="G45">
        <v>1.21E-2</v>
      </c>
      <c r="H45">
        <f t="shared" si="0"/>
        <v>3.5263100076897723E-2</v>
      </c>
      <c r="I45">
        <f t="shared" si="1"/>
        <v>1.1602663695380381E-2</v>
      </c>
      <c r="J45">
        <f t="shared" si="2"/>
        <v>45.23</v>
      </c>
    </row>
    <row r="46" spans="1:10" x14ac:dyDescent="0.25">
      <c r="A46" t="s">
        <v>11</v>
      </c>
      <c r="B46">
        <v>10</v>
      </c>
      <c r="C46">
        <v>1911.63</v>
      </c>
      <c r="D46">
        <v>89.88</v>
      </c>
      <c r="E46">
        <v>23.84</v>
      </c>
      <c r="F46">
        <v>11.2567</v>
      </c>
      <c r="G46">
        <v>1.18E-2</v>
      </c>
      <c r="H46">
        <f t="shared" si="0"/>
        <v>4.7017466769196964E-2</v>
      </c>
      <c r="I46">
        <f t="shared" si="1"/>
        <v>1.2471032574295235E-2</v>
      </c>
      <c r="J46">
        <f t="shared" si="2"/>
        <v>66.039999999999992</v>
      </c>
    </row>
    <row r="47" spans="1:10" x14ac:dyDescent="0.25">
      <c r="A47" t="s">
        <v>11</v>
      </c>
      <c r="B47">
        <v>15</v>
      </c>
      <c r="C47">
        <v>1911.63</v>
      </c>
      <c r="D47">
        <v>109.97</v>
      </c>
      <c r="E47">
        <v>25.61</v>
      </c>
      <c r="F47">
        <v>11.1289</v>
      </c>
      <c r="G47">
        <v>1.9599999999999999E-2</v>
      </c>
      <c r="H47">
        <f t="shared" si="0"/>
        <v>5.7526822659196598E-2</v>
      </c>
      <c r="I47">
        <f t="shared" si="1"/>
        <v>1.3396943969282758E-2</v>
      </c>
      <c r="J47">
        <f t="shared" si="2"/>
        <v>84.36</v>
      </c>
    </row>
    <row r="48" spans="1:10" x14ac:dyDescent="0.25">
      <c r="A48" t="s">
        <v>11</v>
      </c>
      <c r="B48">
        <v>20</v>
      </c>
      <c r="C48">
        <v>1911.63</v>
      </c>
      <c r="D48">
        <v>128.1</v>
      </c>
      <c r="E48">
        <v>27.83</v>
      </c>
      <c r="F48">
        <v>11.2448</v>
      </c>
      <c r="G48">
        <v>6.7999999999999996E-3</v>
      </c>
      <c r="H48">
        <f t="shared" si="0"/>
        <v>6.7010875535537723E-2</v>
      </c>
      <c r="I48">
        <f t="shared" si="1"/>
        <v>1.4558256566385753E-2</v>
      </c>
      <c r="J48">
        <f t="shared" si="2"/>
        <v>100.27</v>
      </c>
    </row>
    <row r="49" spans="1:10" x14ac:dyDescent="0.25">
      <c r="A49" t="s">
        <v>11</v>
      </c>
      <c r="B49">
        <v>25</v>
      </c>
      <c r="C49">
        <v>1911.63</v>
      </c>
      <c r="D49">
        <v>144.68</v>
      </c>
      <c r="E49">
        <v>29.98</v>
      </c>
      <c r="F49">
        <v>11.227499999999999</v>
      </c>
      <c r="G49">
        <v>1.9E-2</v>
      </c>
      <c r="H49">
        <f t="shared" si="0"/>
        <v>7.5684102049036681E-2</v>
      </c>
      <c r="I49">
        <f t="shared" si="1"/>
        <v>1.5682951198715232E-2</v>
      </c>
      <c r="J49">
        <f t="shared" si="2"/>
        <v>114.7</v>
      </c>
    </row>
    <row r="50" spans="1:10" x14ac:dyDescent="0.25">
      <c r="A50" t="s">
        <v>11</v>
      </c>
      <c r="B50">
        <v>30</v>
      </c>
      <c r="C50">
        <v>1911.63</v>
      </c>
      <c r="D50">
        <v>159.85</v>
      </c>
      <c r="E50">
        <v>32.21</v>
      </c>
      <c r="F50">
        <v>11.495699999999999</v>
      </c>
      <c r="G50">
        <v>1.4200000000000001E-2</v>
      </c>
      <c r="H50">
        <f t="shared" si="0"/>
        <v>8.3619738129240478E-2</v>
      </c>
      <c r="I50">
        <f t="shared" si="1"/>
        <v>1.6849494933643017E-2</v>
      </c>
      <c r="J50">
        <f t="shared" si="2"/>
        <v>127.63999999999999</v>
      </c>
    </row>
    <row r="51" spans="1:10" x14ac:dyDescent="0.25">
      <c r="A51" t="s">
        <v>11</v>
      </c>
      <c r="B51">
        <v>35</v>
      </c>
      <c r="C51">
        <v>1911.63</v>
      </c>
      <c r="D51">
        <v>174.7</v>
      </c>
      <c r="E51">
        <v>34.53</v>
      </c>
      <c r="F51">
        <v>11.400700000000001</v>
      </c>
      <c r="G51">
        <v>6.4000000000000003E-3</v>
      </c>
      <c r="H51">
        <f t="shared" si="0"/>
        <v>9.1387977799051057E-2</v>
      </c>
      <c r="I51">
        <f t="shared" si="1"/>
        <v>1.8063118908993894E-2</v>
      </c>
      <c r="J51">
        <f t="shared" si="2"/>
        <v>140.16999999999999</v>
      </c>
    </row>
    <row r="52" spans="1:10" x14ac:dyDescent="0.25">
      <c r="A52" t="s">
        <v>11</v>
      </c>
      <c r="B52">
        <v>40</v>
      </c>
      <c r="C52">
        <v>1911.63</v>
      </c>
      <c r="D52">
        <v>186.7</v>
      </c>
      <c r="E52">
        <v>36.270000000000003</v>
      </c>
      <c r="F52">
        <v>11.411099999999999</v>
      </c>
      <c r="G52">
        <v>1.15E-2</v>
      </c>
      <c r="H52">
        <f t="shared" si="0"/>
        <v>9.766534318879698E-2</v>
      </c>
      <c r="I52">
        <f t="shared" si="1"/>
        <v>1.8973336890507054E-2</v>
      </c>
      <c r="J52">
        <f t="shared" si="2"/>
        <v>150.42999999999998</v>
      </c>
    </row>
    <row r="53" spans="1:10" x14ac:dyDescent="0.25">
      <c r="A53" t="s">
        <v>11</v>
      </c>
      <c r="B53">
        <v>45</v>
      </c>
      <c r="C53">
        <v>1911.63</v>
      </c>
      <c r="D53">
        <v>200.49</v>
      </c>
      <c r="E53">
        <v>38.630000000000003</v>
      </c>
      <c r="F53">
        <v>11.734500000000001</v>
      </c>
      <c r="G53">
        <v>7.7999999999999996E-3</v>
      </c>
      <c r="H53">
        <f t="shared" si="0"/>
        <v>0.10487908224918002</v>
      </c>
      <c r="I53">
        <f t="shared" si="1"/>
        <v>2.0207885417157085E-2</v>
      </c>
      <c r="J53">
        <f t="shared" si="2"/>
        <v>161.86000000000001</v>
      </c>
    </row>
    <row r="54" spans="1:10" x14ac:dyDescent="0.25">
      <c r="A54" t="s">
        <v>11</v>
      </c>
      <c r="B54">
        <v>50</v>
      </c>
      <c r="C54">
        <v>1911.63</v>
      </c>
      <c r="D54">
        <v>211.85</v>
      </c>
      <c r="E54">
        <v>40.659999999999997</v>
      </c>
      <c r="F54">
        <v>11.695</v>
      </c>
      <c r="G54">
        <v>1.5800000000000002E-2</v>
      </c>
      <c r="H54">
        <f t="shared" si="0"/>
        <v>0.11082165481813948</v>
      </c>
      <c r="I54">
        <f t="shared" si="1"/>
        <v>2.1269806395589102E-2</v>
      </c>
      <c r="J54">
        <f t="shared" si="2"/>
        <v>171.19</v>
      </c>
    </row>
    <row r="55" spans="1:10" x14ac:dyDescent="0.25">
      <c r="A55" t="s">
        <v>11</v>
      </c>
      <c r="B55">
        <v>55</v>
      </c>
      <c r="C55">
        <v>1911.63</v>
      </c>
      <c r="D55">
        <v>223.8</v>
      </c>
      <c r="E55">
        <v>42.86</v>
      </c>
      <c r="F55">
        <v>11.5154</v>
      </c>
      <c r="G55">
        <v>0.02</v>
      </c>
      <c r="H55">
        <f t="shared" si="0"/>
        <v>0.11707286451876148</v>
      </c>
      <c r="I55">
        <f t="shared" si="1"/>
        <v>2.2420656717042523E-2</v>
      </c>
      <c r="J55">
        <f t="shared" si="2"/>
        <v>180.94</v>
      </c>
    </row>
    <row r="56" spans="1:10" x14ac:dyDescent="0.25">
      <c r="A56" t="s">
        <v>11</v>
      </c>
      <c r="B56">
        <v>60</v>
      </c>
      <c r="C56">
        <v>1911.63</v>
      </c>
      <c r="D56">
        <v>238.79</v>
      </c>
      <c r="E56">
        <v>45.72</v>
      </c>
      <c r="F56">
        <v>11.5738</v>
      </c>
      <c r="G56">
        <v>2.23E-2</v>
      </c>
      <c r="H56">
        <f t="shared" si="0"/>
        <v>0.12491434011811908</v>
      </c>
      <c r="I56">
        <f t="shared" si="1"/>
        <v>2.3916762134931966E-2</v>
      </c>
      <c r="J56">
        <f t="shared" si="2"/>
        <v>193.07</v>
      </c>
    </row>
    <row r="57" spans="1:10" x14ac:dyDescent="0.25">
      <c r="A57" t="s">
        <v>11</v>
      </c>
      <c r="B57">
        <v>65</v>
      </c>
      <c r="C57">
        <v>1911.63</v>
      </c>
      <c r="D57">
        <v>257.77999999999997</v>
      </c>
      <c r="E57">
        <v>49.32</v>
      </c>
      <c r="F57">
        <v>11.6707</v>
      </c>
      <c r="G57">
        <v>1E-3</v>
      </c>
      <c r="H57">
        <f t="shared" si="0"/>
        <v>0.13484827084739198</v>
      </c>
      <c r="I57">
        <f t="shared" si="1"/>
        <v>2.5799971751855746E-2</v>
      </c>
      <c r="J57">
        <f t="shared" si="2"/>
        <v>208.45999999999998</v>
      </c>
    </row>
    <row r="58" spans="1:10" x14ac:dyDescent="0.25">
      <c r="A58" t="s">
        <v>11</v>
      </c>
      <c r="B58">
        <v>70</v>
      </c>
      <c r="C58">
        <v>1911.63</v>
      </c>
      <c r="D58">
        <v>280.24</v>
      </c>
      <c r="E58">
        <v>53.93</v>
      </c>
      <c r="F58">
        <v>11.7133</v>
      </c>
      <c r="G58">
        <v>1.4200000000000001E-2</v>
      </c>
      <c r="H58">
        <f t="shared" si="0"/>
        <v>0.14659740640186647</v>
      </c>
      <c r="I58">
        <f t="shared" si="1"/>
        <v>2.8211526289083137E-2</v>
      </c>
      <c r="J58">
        <f t="shared" si="2"/>
        <v>226.31</v>
      </c>
    </row>
    <row r="59" spans="1:10" x14ac:dyDescent="0.25">
      <c r="A59" t="s">
        <v>11</v>
      </c>
      <c r="B59">
        <v>75</v>
      </c>
      <c r="C59">
        <v>1911.63</v>
      </c>
      <c r="D59">
        <v>306.01</v>
      </c>
      <c r="E59">
        <v>59.47</v>
      </c>
      <c r="F59">
        <v>12.151300000000001</v>
      </c>
      <c r="G59">
        <v>7.4000000000000003E-3</v>
      </c>
      <c r="H59">
        <f t="shared" si="0"/>
        <v>0.16007804857634583</v>
      </c>
      <c r="I59">
        <f t="shared" si="1"/>
        <v>3.1109576644015837E-2</v>
      </c>
      <c r="J59">
        <f t="shared" si="2"/>
        <v>246.54</v>
      </c>
    </row>
    <row r="60" spans="1:10" x14ac:dyDescent="0.25">
      <c r="A60" t="s">
        <v>11</v>
      </c>
      <c r="B60">
        <v>80</v>
      </c>
      <c r="C60">
        <v>1911.63</v>
      </c>
      <c r="D60">
        <v>346.69</v>
      </c>
      <c r="E60">
        <v>68.87</v>
      </c>
      <c r="F60">
        <v>11.9284</v>
      </c>
      <c r="G60">
        <v>1.2500000000000001E-2</v>
      </c>
      <c r="H60">
        <f t="shared" si="0"/>
        <v>0.1813583172475845</v>
      </c>
      <c r="I60">
        <f t="shared" si="1"/>
        <v>3.6026846199316814E-2</v>
      </c>
      <c r="J60">
        <f t="shared" si="2"/>
        <v>277.82</v>
      </c>
    </row>
    <row r="61" spans="1:10" x14ac:dyDescent="0.25">
      <c r="A61" t="s">
        <v>11</v>
      </c>
      <c r="B61">
        <v>85</v>
      </c>
      <c r="C61">
        <v>1911.63</v>
      </c>
      <c r="D61">
        <v>402.13</v>
      </c>
      <c r="E61">
        <v>82.41</v>
      </c>
      <c r="F61">
        <v>12.293200000000001</v>
      </c>
      <c r="G61">
        <v>3.0999999999999999E-3</v>
      </c>
      <c r="H61">
        <f t="shared" si="0"/>
        <v>0.21035974534821067</v>
      </c>
      <c r="I61">
        <f t="shared" si="1"/>
        <v>4.3109806814080123E-2</v>
      </c>
      <c r="J61">
        <f t="shared" si="2"/>
        <v>319.72000000000003</v>
      </c>
    </row>
    <row r="62" spans="1:10" x14ac:dyDescent="0.25">
      <c r="A62" t="s">
        <v>11</v>
      </c>
      <c r="B62">
        <v>90</v>
      </c>
      <c r="C62">
        <v>1911.63</v>
      </c>
      <c r="D62">
        <v>501.59</v>
      </c>
      <c r="E62">
        <v>107.61</v>
      </c>
      <c r="F62">
        <v>12.619199999999999</v>
      </c>
      <c r="G62">
        <v>8.0000000000000002E-3</v>
      </c>
      <c r="H62">
        <f t="shared" si="0"/>
        <v>0.26238864215355479</v>
      </c>
      <c r="I62">
        <f t="shared" si="1"/>
        <v>5.6292274132546567E-2</v>
      </c>
      <c r="J62">
        <f t="shared" si="2"/>
        <v>393.97999999999996</v>
      </c>
    </row>
    <row r="63" spans="1:10" x14ac:dyDescent="0.25">
      <c r="A63" t="s">
        <v>11</v>
      </c>
      <c r="B63">
        <v>95</v>
      </c>
      <c r="C63">
        <v>1911.63</v>
      </c>
      <c r="D63">
        <v>714.13</v>
      </c>
      <c r="E63">
        <v>167.75</v>
      </c>
      <c r="F63">
        <v>13.0138</v>
      </c>
      <c r="G63">
        <v>1.5800000000000002E-2</v>
      </c>
      <c r="H63">
        <f t="shared" si="0"/>
        <v>0.3735712454816047</v>
      </c>
      <c r="I63">
        <f t="shared" si="1"/>
        <v>8.7752337010823217E-2</v>
      </c>
      <c r="J63">
        <f t="shared" si="2"/>
        <v>546.38</v>
      </c>
    </row>
    <row r="64" spans="1:10" x14ac:dyDescent="0.25">
      <c r="A64" t="s">
        <v>11</v>
      </c>
      <c r="B64">
        <v>100</v>
      </c>
      <c r="C64">
        <v>1911.63</v>
      </c>
      <c r="D64">
        <v>1268.97</v>
      </c>
      <c r="E64">
        <v>427.66</v>
      </c>
      <c r="F64">
        <v>15.055099999999999</v>
      </c>
      <c r="G64">
        <v>1.4999999999999999E-2</v>
      </c>
      <c r="H64">
        <f t="shared" si="0"/>
        <v>0.663815696552157</v>
      </c>
      <c r="I64">
        <f t="shared" si="1"/>
        <v>0.22371484021489516</v>
      </c>
      <c r="J64">
        <f t="shared" si="2"/>
        <v>841.31</v>
      </c>
    </row>
    <row r="65" spans="1:10" x14ac:dyDescent="0.25">
      <c r="A65" t="s">
        <v>17</v>
      </c>
      <c r="B65">
        <v>0</v>
      </c>
      <c r="C65">
        <v>14762.3</v>
      </c>
      <c r="D65">
        <v>194.98</v>
      </c>
      <c r="E65">
        <v>78.69</v>
      </c>
      <c r="F65">
        <v>43.437399999999997</v>
      </c>
      <c r="G65">
        <v>4.1000000000000002E-2</v>
      </c>
      <c r="H65">
        <f t="shared" si="0"/>
        <v>1.3207968947928169E-2</v>
      </c>
      <c r="I65">
        <f t="shared" si="1"/>
        <v>5.3304701841853912E-3</v>
      </c>
      <c r="J65">
        <f t="shared" si="2"/>
        <v>116.28999999999999</v>
      </c>
    </row>
    <row r="66" spans="1:10" x14ac:dyDescent="0.25">
      <c r="A66" t="s">
        <v>17</v>
      </c>
      <c r="B66">
        <v>5</v>
      </c>
      <c r="C66">
        <v>14762.3</v>
      </c>
      <c r="D66">
        <v>226.75</v>
      </c>
      <c r="E66">
        <v>78.430000000000007</v>
      </c>
      <c r="F66">
        <v>43.078600000000002</v>
      </c>
      <c r="G66">
        <v>4.4900000000000002E-2</v>
      </c>
      <c r="H66">
        <f t="shared" si="0"/>
        <v>1.5360072617410566E-2</v>
      </c>
      <c r="I66">
        <f t="shared" si="1"/>
        <v>5.3128577525182394E-3</v>
      </c>
      <c r="J66">
        <f t="shared" si="2"/>
        <v>148.32</v>
      </c>
    </row>
    <row r="67" spans="1:10" x14ac:dyDescent="0.25">
      <c r="A67" t="s">
        <v>17</v>
      </c>
      <c r="B67">
        <v>10</v>
      </c>
      <c r="C67">
        <v>14762.3</v>
      </c>
      <c r="D67">
        <v>293.98</v>
      </c>
      <c r="E67">
        <v>82.89</v>
      </c>
      <c r="F67">
        <v>43.596400000000003</v>
      </c>
      <c r="G67">
        <v>3.5700000000000003E-2</v>
      </c>
      <c r="H67">
        <f t="shared" ref="H67:H130" si="3">D67/C67</f>
        <v>1.9914241005805331E-2</v>
      </c>
      <c r="I67">
        <f t="shared" ref="I67:I130" si="4">E67/C67</f>
        <v>5.614978695731695E-3</v>
      </c>
      <c r="J67">
        <f t="shared" ref="J67:J130" si="5">D67-E67</f>
        <v>211.09000000000003</v>
      </c>
    </row>
    <row r="68" spans="1:10" x14ac:dyDescent="0.25">
      <c r="A68" t="s">
        <v>17</v>
      </c>
      <c r="B68">
        <v>15</v>
      </c>
      <c r="C68">
        <v>14762.3</v>
      </c>
      <c r="D68">
        <v>350.63</v>
      </c>
      <c r="E68">
        <v>85.77</v>
      </c>
      <c r="F68">
        <v>43.4619</v>
      </c>
      <c r="G68">
        <v>3.6900000000000002E-2</v>
      </c>
      <c r="H68">
        <f t="shared" si="3"/>
        <v>2.3751718905590594E-2</v>
      </c>
      <c r="I68">
        <f t="shared" si="4"/>
        <v>5.8100702465063029E-3</v>
      </c>
      <c r="J68">
        <f t="shared" si="5"/>
        <v>264.86</v>
      </c>
    </row>
    <row r="69" spans="1:10" x14ac:dyDescent="0.25">
      <c r="A69" t="s">
        <v>17</v>
      </c>
      <c r="B69">
        <v>20</v>
      </c>
      <c r="C69">
        <v>14762.3</v>
      </c>
      <c r="D69">
        <v>403.16</v>
      </c>
      <c r="E69">
        <v>93.57</v>
      </c>
      <c r="F69">
        <v>43.8444</v>
      </c>
      <c r="G69">
        <v>4.6699999999999998E-2</v>
      </c>
      <c r="H69">
        <f t="shared" si="3"/>
        <v>2.7310107503573294E-2</v>
      </c>
      <c r="I69">
        <f t="shared" si="4"/>
        <v>6.3384431965208673E-3</v>
      </c>
      <c r="J69">
        <f t="shared" si="5"/>
        <v>309.59000000000003</v>
      </c>
    </row>
    <row r="70" spans="1:10" x14ac:dyDescent="0.25">
      <c r="A70" t="s">
        <v>17</v>
      </c>
      <c r="B70">
        <v>25</v>
      </c>
      <c r="C70">
        <v>14762.3</v>
      </c>
      <c r="D70">
        <v>454.23</v>
      </c>
      <c r="E70">
        <v>100.29</v>
      </c>
      <c r="F70">
        <v>44.1477</v>
      </c>
      <c r="G70">
        <v>4.4299999999999999E-2</v>
      </c>
      <c r="H70">
        <f t="shared" si="3"/>
        <v>3.0769595523732755E-2</v>
      </c>
      <c r="I70">
        <f t="shared" si="4"/>
        <v>6.7936568149949538E-3</v>
      </c>
      <c r="J70">
        <f t="shared" si="5"/>
        <v>353.94</v>
      </c>
    </row>
    <row r="71" spans="1:10" x14ac:dyDescent="0.25">
      <c r="A71" t="s">
        <v>17</v>
      </c>
      <c r="B71">
        <v>30</v>
      </c>
      <c r="C71">
        <v>14762.3</v>
      </c>
      <c r="D71">
        <v>494.4</v>
      </c>
      <c r="E71">
        <v>107.08</v>
      </c>
      <c r="F71">
        <v>44.402000000000001</v>
      </c>
      <c r="G71">
        <v>4.1200000000000001E-2</v>
      </c>
      <c r="H71">
        <f t="shared" si="3"/>
        <v>3.349071621630776E-2</v>
      </c>
      <c r="I71">
        <f t="shared" si="4"/>
        <v>7.2536122419948118E-3</v>
      </c>
      <c r="J71">
        <f t="shared" si="5"/>
        <v>387.32</v>
      </c>
    </row>
    <row r="72" spans="1:10" x14ac:dyDescent="0.25">
      <c r="A72" t="s">
        <v>17</v>
      </c>
      <c r="B72">
        <v>35</v>
      </c>
      <c r="C72">
        <v>14762.3</v>
      </c>
      <c r="D72">
        <v>558.29</v>
      </c>
      <c r="E72">
        <v>115.51</v>
      </c>
      <c r="F72">
        <v>44.374699999999997</v>
      </c>
      <c r="G72">
        <v>3.2199999999999999E-2</v>
      </c>
      <c r="H72">
        <f t="shared" si="3"/>
        <v>3.7818632597901414E-2</v>
      </c>
      <c r="I72">
        <f t="shared" si="4"/>
        <v>7.8246614687413219E-3</v>
      </c>
      <c r="J72">
        <f t="shared" si="5"/>
        <v>442.78</v>
      </c>
    </row>
    <row r="73" spans="1:10" x14ac:dyDescent="0.25">
      <c r="A73" t="s">
        <v>17</v>
      </c>
      <c r="B73">
        <v>40</v>
      </c>
      <c r="C73">
        <v>14762.3</v>
      </c>
      <c r="D73">
        <v>585.76</v>
      </c>
      <c r="E73">
        <v>121.56</v>
      </c>
      <c r="F73">
        <v>44.805500000000002</v>
      </c>
      <c r="G73">
        <v>3.7699999999999997E-2</v>
      </c>
      <c r="H73">
        <f t="shared" si="3"/>
        <v>3.9679453743657833E-2</v>
      </c>
      <c r="I73">
        <f t="shared" si="4"/>
        <v>8.2344892056115931E-3</v>
      </c>
      <c r="J73">
        <f t="shared" si="5"/>
        <v>464.2</v>
      </c>
    </row>
    <row r="74" spans="1:10" x14ac:dyDescent="0.25">
      <c r="A74" t="s">
        <v>17</v>
      </c>
      <c r="B74">
        <v>45</v>
      </c>
      <c r="C74">
        <v>14762.3</v>
      </c>
      <c r="D74">
        <v>616.94000000000005</v>
      </c>
      <c r="E74">
        <v>129.97</v>
      </c>
      <c r="F74">
        <v>44.624499999999998</v>
      </c>
      <c r="G74">
        <v>4.7500000000000001E-2</v>
      </c>
      <c r="H74">
        <f t="shared" si="3"/>
        <v>4.1791590741280159E-2</v>
      </c>
      <c r="I74">
        <f t="shared" si="4"/>
        <v>8.8041836299221667E-3</v>
      </c>
      <c r="J74">
        <f t="shared" si="5"/>
        <v>486.97</v>
      </c>
    </row>
    <row r="75" spans="1:10" x14ac:dyDescent="0.25">
      <c r="A75" t="s">
        <v>17</v>
      </c>
      <c r="B75">
        <v>50</v>
      </c>
      <c r="C75">
        <v>14762.3</v>
      </c>
      <c r="D75">
        <v>640.01</v>
      </c>
      <c r="E75">
        <v>136.54</v>
      </c>
      <c r="F75">
        <v>44.671799999999998</v>
      </c>
      <c r="G75">
        <v>5.0599999999999999E-2</v>
      </c>
      <c r="H75">
        <f t="shared" si="3"/>
        <v>4.335435535113092E-2</v>
      </c>
      <c r="I75">
        <f t="shared" si="4"/>
        <v>9.2492362301267415E-3</v>
      </c>
      <c r="J75">
        <f t="shared" si="5"/>
        <v>503.47</v>
      </c>
    </row>
    <row r="76" spans="1:10" x14ac:dyDescent="0.25">
      <c r="A76" t="s">
        <v>17</v>
      </c>
      <c r="B76">
        <v>55</v>
      </c>
      <c r="C76">
        <v>14762.3</v>
      </c>
      <c r="D76">
        <v>665.99</v>
      </c>
      <c r="E76">
        <v>143.85</v>
      </c>
      <c r="F76">
        <v>44.645699999999998</v>
      </c>
      <c r="G76">
        <v>4.41E-2</v>
      </c>
      <c r="H76">
        <f t="shared" si="3"/>
        <v>4.5114243715410202E-2</v>
      </c>
      <c r="I76">
        <f t="shared" si="4"/>
        <v>9.7444165204609041E-3</v>
      </c>
      <c r="J76">
        <f t="shared" si="5"/>
        <v>522.14</v>
      </c>
    </row>
    <row r="77" spans="1:10" x14ac:dyDescent="0.25">
      <c r="A77" t="s">
        <v>17</v>
      </c>
      <c r="B77">
        <v>60</v>
      </c>
      <c r="C77">
        <v>14762.3</v>
      </c>
      <c r="D77">
        <v>827.87</v>
      </c>
      <c r="E77">
        <v>153.71</v>
      </c>
      <c r="F77">
        <v>45.508899999999997</v>
      </c>
      <c r="G77">
        <v>4.7399999999999998E-2</v>
      </c>
      <c r="H77">
        <f t="shared" si="3"/>
        <v>5.6080014631866314E-2</v>
      </c>
      <c r="I77">
        <f t="shared" si="4"/>
        <v>1.0412334121376751E-2</v>
      </c>
      <c r="J77">
        <f t="shared" si="5"/>
        <v>674.16</v>
      </c>
    </row>
    <row r="78" spans="1:10" x14ac:dyDescent="0.25">
      <c r="A78" t="s">
        <v>17</v>
      </c>
      <c r="B78">
        <v>65</v>
      </c>
      <c r="C78">
        <v>14762.3</v>
      </c>
      <c r="D78">
        <v>953.58</v>
      </c>
      <c r="E78">
        <v>165.68</v>
      </c>
      <c r="F78">
        <v>46.713500000000003</v>
      </c>
      <c r="G78">
        <v>4.41E-2</v>
      </c>
      <c r="H78">
        <f t="shared" si="3"/>
        <v>6.4595625342934379E-2</v>
      </c>
      <c r="I78">
        <f t="shared" si="4"/>
        <v>1.1223183379283717E-2</v>
      </c>
      <c r="J78">
        <f t="shared" si="5"/>
        <v>787.90000000000009</v>
      </c>
    </row>
    <row r="79" spans="1:10" x14ac:dyDescent="0.25">
      <c r="A79" t="s">
        <v>17</v>
      </c>
      <c r="B79">
        <v>70</v>
      </c>
      <c r="C79">
        <v>14762.3</v>
      </c>
      <c r="D79">
        <v>1003.68</v>
      </c>
      <c r="E79">
        <v>180.46</v>
      </c>
      <c r="F79">
        <v>46.055199999999999</v>
      </c>
      <c r="G79">
        <v>5.1200000000000002E-2</v>
      </c>
      <c r="H79">
        <f t="shared" si="3"/>
        <v>6.7989405444950995E-2</v>
      </c>
      <c r="I79">
        <f t="shared" si="4"/>
        <v>1.2224382379439519E-2</v>
      </c>
      <c r="J79">
        <f t="shared" si="5"/>
        <v>823.21999999999991</v>
      </c>
    </row>
    <row r="80" spans="1:10" x14ac:dyDescent="0.25">
      <c r="A80" t="s">
        <v>17</v>
      </c>
      <c r="B80">
        <v>75</v>
      </c>
      <c r="C80">
        <v>14762.3</v>
      </c>
      <c r="D80">
        <v>1061.1199999999999</v>
      </c>
      <c r="E80">
        <v>199.63</v>
      </c>
      <c r="F80">
        <v>46.112299999999998</v>
      </c>
      <c r="G80">
        <v>4.4200000000000003E-2</v>
      </c>
      <c r="H80">
        <f t="shared" si="3"/>
        <v>7.1880398040955668E-2</v>
      </c>
      <c r="I80">
        <f t="shared" si="4"/>
        <v>1.3522960514283006E-2</v>
      </c>
      <c r="J80">
        <f t="shared" si="5"/>
        <v>861.4899999999999</v>
      </c>
    </row>
    <row r="81" spans="1:10" x14ac:dyDescent="0.25">
      <c r="A81" t="s">
        <v>17</v>
      </c>
      <c r="B81">
        <v>80</v>
      </c>
      <c r="C81">
        <v>14762.3</v>
      </c>
      <c r="D81">
        <v>1140.33</v>
      </c>
      <c r="E81">
        <v>230.35</v>
      </c>
      <c r="F81">
        <v>46.174300000000002</v>
      </c>
      <c r="G81">
        <v>4.41E-2</v>
      </c>
      <c r="H81">
        <f t="shared" si="3"/>
        <v>7.7246093088475368E-2</v>
      </c>
      <c r="I81">
        <f t="shared" si="4"/>
        <v>1.5603937055878828E-2</v>
      </c>
      <c r="J81">
        <f t="shared" si="5"/>
        <v>909.9799999999999</v>
      </c>
    </row>
    <row r="82" spans="1:10" x14ac:dyDescent="0.25">
      <c r="A82" t="s">
        <v>17</v>
      </c>
      <c r="B82">
        <v>85</v>
      </c>
      <c r="C82">
        <v>14762.3</v>
      </c>
      <c r="D82">
        <v>1249.6300000000001</v>
      </c>
      <c r="E82">
        <v>274.26</v>
      </c>
      <c r="F82">
        <v>46.404299999999999</v>
      </c>
      <c r="G82">
        <v>4.4299999999999999E-2</v>
      </c>
      <c r="H82">
        <f t="shared" si="3"/>
        <v>8.4650088400858955E-2</v>
      </c>
      <c r="I82">
        <f t="shared" si="4"/>
        <v>1.8578405803973637E-2</v>
      </c>
      <c r="J82">
        <f t="shared" si="5"/>
        <v>975.37000000000012</v>
      </c>
    </row>
    <row r="83" spans="1:10" x14ac:dyDescent="0.25">
      <c r="A83" t="s">
        <v>17</v>
      </c>
      <c r="B83">
        <v>90</v>
      </c>
      <c r="C83">
        <v>14762.3</v>
      </c>
      <c r="D83">
        <v>1592.9</v>
      </c>
      <c r="E83">
        <v>352.86</v>
      </c>
      <c r="F83">
        <v>46.791899999999998</v>
      </c>
      <c r="G83">
        <v>4.53E-2</v>
      </c>
      <c r="H83">
        <f t="shared" si="3"/>
        <v>0.10790324001002555</v>
      </c>
      <c r="I83">
        <f t="shared" si="4"/>
        <v>2.3902779377197321E-2</v>
      </c>
      <c r="J83">
        <f t="shared" si="5"/>
        <v>1240.04</v>
      </c>
    </row>
    <row r="84" spans="1:10" x14ac:dyDescent="0.25">
      <c r="A84" t="s">
        <v>17</v>
      </c>
      <c r="B84">
        <v>95</v>
      </c>
      <c r="C84">
        <v>14762.3</v>
      </c>
      <c r="D84">
        <v>2204.67</v>
      </c>
      <c r="E84">
        <v>541.91</v>
      </c>
      <c r="F84">
        <v>47.784199999999998</v>
      </c>
      <c r="G84">
        <v>4.6300000000000001E-2</v>
      </c>
      <c r="H84">
        <f t="shared" si="3"/>
        <v>0.14934461432161655</v>
      </c>
      <c r="I84">
        <f t="shared" si="4"/>
        <v>3.6709049402870828E-2</v>
      </c>
      <c r="J84">
        <f t="shared" si="5"/>
        <v>1662.7600000000002</v>
      </c>
    </row>
    <row r="85" spans="1:10" x14ac:dyDescent="0.25">
      <c r="A85" t="s">
        <v>17</v>
      </c>
      <c r="B85">
        <v>100</v>
      </c>
      <c r="C85">
        <v>14762.3</v>
      </c>
      <c r="D85">
        <v>3842.23</v>
      </c>
      <c r="E85">
        <v>1301.3699999999999</v>
      </c>
      <c r="F85">
        <v>53.227699999999999</v>
      </c>
      <c r="G85">
        <v>5.1499999999999997E-2</v>
      </c>
      <c r="H85">
        <f t="shared" si="3"/>
        <v>0.26027312817108444</v>
      </c>
      <c r="I85">
        <f t="shared" si="4"/>
        <v>8.8154962302622222E-2</v>
      </c>
      <c r="J85">
        <f t="shared" si="5"/>
        <v>2540.86</v>
      </c>
    </row>
    <row r="86" spans="1:10" x14ac:dyDescent="0.25">
      <c r="A86" t="s">
        <v>18</v>
      </c>
      <c r="B86">
        <v>0</v>
      </c>
      <c r="C86">
        <v>14762.3</v>
      </c>
      <c r="D86">
        <v>176.36</v>
      </c>
      <c r="E86">
        <v>77.89</v>
      </c>
      <c r="F86">
        <v>42.592700000000001</v>
      </c>
      <c r="G86">
        <v>4.3400000000000001E-2</v>
      </c>
      <c r="H86">
        <f t="shared" si="3"/>
        <v>1.1946647880072889E-2</v>
      </c>
      <c r="I86">
        <f t="shared" si="4"/>
        <v>5.276278086748E-3</v>
      </c>
      <c r="J86">
        <f t="shared" si="5"/>
        <v>98.470000000000013</v>
      </c>
    </row>
    <row r="87" spans="1:10" x14ac:dyDescent="0.25">
      <c r="A87" t="s">
        <v>18</v>
      </c>
      <c r="B87">
        <v>5</v>
      </c>
      <c r="C87">
        <v>14762.3</v>
      </c>
      <c r="D87">
        <v>181.82</v>
      </c>
      <c r="E87">
        <v>77.98</v>
      </c>
      <c r="F87">
        <v>42.747599999999998</v>
      </c>
      <c r="G87">
        <v>4.3999999999999997E-2</v>
      </c>
      <c r="H87">
        <f t="shared" si="3"/>
        <v>1.2316508945083083E-2</v>
      </c>
      <c r="I87">
        <f t="shared" si="4"/>
        <v>5.2823746977097071E-3</v>
      </c>
      <c r="J87">
        <f t="shared" si="5"/>
        <v>103.83999999999999</v>
      </c>
    </row>
    <row r="88" spans="1:10" x14ac:dyDescent="0.25">
      <c r="A88" t="s">
        <v>18</v>
      </c>
      <c r="B88">
        <v>10</v>
      </c>
      <c r="C88">
        <v>14762.3</v>
      </c>
      <c r="D88">
        <v>189.8</v>
      </c>
      <c r="E88">
        <v>79.150000000000006</v>
      </c>
      <c r="F88">
        <v>42.797499999999999</v>
      </c>
      <c r="G88">
        <v>5.4800000000000001E-2</v>
      </c>
      <c r="H88">
        <f t="shared" si="3"/>
        <v>1.2857075117021062E-2</v>
      </c>
      <c r="I88">
        <f t="shared" si="4"/>
        <v>5.3616306402118914E-3</v>
      </c>
      <c r="J88">
        <f t="shared" si="5"/>
        <v>110.65</v>
      </c>
    </row>
    <row r="89" spans="1:10" x14ac:dyDescent="0.25">
      <c r="A89" t="s">
        <v>18</v>
      </c>
      <c r="B89">
        <v>15</v>
      </c>
      <c r="C89">
        <v>14762.3</v>
      </c>
      <c r="D89">
        <v>202.28</v>
      </c>
      <c r="E89">
        <v>79.23</v>
      </c>
      <c r="F89">
        <v>44.641300000000001</v>
      </c>
      <c r="G89">
        <v>4.0099999999999997E-2</v>
      </c>
      <c r="H89">
        <f t="shared" si="3"/>
        <v>1.3702471837044363E-2</v>
      </c>
      <c r="I89">
        <f t="shared" si="4"/>
        <v>5.3670498499556307E-3</v>
      </c>
      <c r="J89">
        <f t="shared" si="5"/>
        <v>123.05</v>
      </c>
    </row>
    <row r="90" spans="1:10" x14ac:dyDescent="0.25">
      <c r="A90" t="s">
        <v>18</v>
      </c>
      <c r="B90">
        <v>20</v>
      </c>
      <c r="C90">
        <v>14762.3</v>
      </c>
      <c r="D90">
        <v>214.14</v>
      </c>
      <c r="E90">
        <v>82.3</v>
      </c>
      <c r="F90">
        <v>43.4863</v>
      </c>
      <c r="G90">
        <v>5.7700000000000001E-2</v>
      </c>
      <c r="H90">
        <f t="shared" si="3"/>
        <v>1.4505869681553688E-2</v>
      </c>
      <c r="I90">
        <f t="shared" si="4"/>
        <v>5.5750120238716189E-3</v>
      </c>
      <c r="J90">
        <f t="shared" si="5"/>
        <v>131.83999999999997</v>
      </c>
    </row>
    <row r="91" spans="1:10" x14ac:dyDescent="0.25">
      <c r="A91" t="s">
        <v>18</v>
      </c>
      <c r="B91">
        <v>25</v>
      </c>
      <c r="C91">
        <v>14762.3</v>
      </c>
      <c r="D91">
        <v>230.79</v>
      </c>
      <c r="E91">
        <v>81.58</v>
      </c>
      <c r="F91">
        <v>43.040300000000002</v>
      </c>
      <c r="G91">
        <v>4.36E-2</v>
      </c>
      <c r="H91">
        <f t="shared" si="3"/>
        <v>1.5633742709469392E-2</v>
      </c>
      <c r="I91">
        <f t="shared" si="4"/>
        <v>5.526239136177967E-3</v>
      </c>
      <c r="J91">
        <f t="shared" si="5"/>
        <v>149.20999999999998</v>
      </c>
    </row>
    <row r="92" spans="1:10" x14ac:dyDescent="0.25">
      <c r="A92" t="s">
        <v>18</v>
      </c>
      <c r="B92">
        <v>30</v>
      </c>
      <c r="C92">
        <v>14762.3</v>
      </c>
      <c r="D92">
        <v>252.84</v>
      </c>
      <c r="E92">
        <v>83.03</v>
      </c>
      <c r="F92">
        <v>43.167400000000001</v>
      </c>
      <c r="G92">
        <v>4.2999999999999997E-2</v>
      </c>
      <c r="H92">
        <f t="shared" si="3"/>
        <v>1.7127412395087489E-2</v>
      </c>
      <c r="I92">
        <f t="shared" si="4"/>
        <v>5.6244623127832388E-3</v>
      </c>
      <c r="J92">
        <f t="shared" si="5"/>
        <v>169.81</v>
      </c>
    </row>
    <row r="93" spans="1:10" x14ac:dyDescent="0.25">
      <c r="A93" t="s">
        <v>18</v>
      </c>
      <c r="B93">
        <v>35</v>
      </c>
      <c r="C93">
        <v>14762.3</v>
      </c>
      <c r="D93">
        <v>290.75</v>
      </c>
      <c r="E93">
        <v>85.55</v>
      </c>
      <c r="F93">
        <v>43.3352</v>
      </c>
      <c r="G93">
        <v>4.2000000000000003E-2</v>
      </c>
      <c r="H93">
        <f t="shared" si="3"/>
        <v>1.9695440412401861E-2</v>
      </c>
      <c r="I93">
        <f t="shared" si="4"/>
        <v>5.7951674197110207E-3</v>
      </c>
      <c r="J93">
        <f t="shared" si="5"/>
        <v>205.2</v>
      </c>
    </row>
    <row r="94" spans="1:10" x14ac:dyDescent="0.25">
      <c r="A94" t="s">
        <v>18</v>
      </c>
      <c r="B94">
        <v>40</v>
      </c>
      <c r="C94">
        <v>14762.3</v>
      </c>
      <c r="D94">
        <v>302.13</v>
      </c>
      <c r="E94">
        <v>84.63</v>
      </c>
      <c r="F94">
        <v>43.339300000000001</v>
      </c>
      <c r="G94">
        <v>4.6199999999999998E-2</v>
      </c>
      <c r="H94">
        <f t="shared" si="3"/>
        <v>2.0466322998448753E-2</v>
      </c>
      <c r="I94">
        <f t="shared" si="4"/>
        <v>5.7328465076580204E-3</v>
      </c>
      <c r="J94">
        <f t="shared" si="5"/>
        <v>217.5</v>
      </c>
    </row>
    <row r="95" spans="1:10" x14ac:dyDescent="0.25">
      <c r="A95" t="s">
        <v>18</v>
      </c>
      <c r="B95">
        <v>45</v>
      </c>
      <c r="C95">
        <v>14762.3</v>
      </c>
      <c r="D95">
        <v>322.7</v>
      </c>
      <c r="E95">
        <v>86.92</v>
      </c>
      <c r="F95">
        <v>43.460700000000003</v>
      </c>
      <c r="G95">
        <v>4.2999999999999997E-2</v>
      </c>
      <c r="H95">
        <f t="shared" si="3"/>
        <v>2.1859737303807674E-2</v>
      </c>
      <c r="I95">
        <f t="shared" si="4"/>
        <v>5.8879713865725531E-3</v>
      </c>
      <c r="J95">
        <f t="shared" si="5"/>
        <v>235.77999999999997</v>
      </c>
    </row>
    <row r="96" spans="1:10" x14ac:dyDescent="0.25">
      <c r="A96" t="s">
        <v>18</v>
      </c>
      <c r="B96">
        <v>50</v>
      </c>
      <c r="C96">
        <v>14762.3</v>
      </c>
      <c r="D96">
        <v>332.3</v>
      </c>
      <c r="E96">
        <v>87.62</v>
      </c>
      <c r="F96">
        <v>43.401800000000001</v>
      </c>
      <c r="G96">
        <v>4.41E-2</v>
      </c>
      <c r="H96">
        <f t="shared" si="3"/>
        <v>2.2510042473056369E-2</v>
      </c>
      <c r="I96">
        <f t="shared" si="4"/>
        <v>5.9353894718302712E-3</v>
      </c>
      <c r="J96">
        <f t="shared" si="5"/>
        <v>244.68</v>
      </c>
    </row>
    <row r="97" spans="1:10" x14ac:dyDescent="0.25">
      <c r="A97" t="s">
        <v>18</v>
      </c>
      <c r="B97">
        <v>55</v>
      </c>
      <c r="C97">
        <v>14762.3</v>
      </c>
      <c r="D97">
        <v>345.95</v>
      </c>
      <c r="E97">
        <v>88.51</v>
      </c>
      <c r="F97">
        <v>43.386299999999999</v>
      </c>
      <c r="G97">
        <v>4.3999999999999997E-2</v>
      </c>
      <c r="H97">
        <f t="shared" si="3"/>
        <v>2.3434695135581853E-2</v>
      </c>
      <c r="I97">
        <f t="shared" si="4"/>
        <v>5.9956781802293687E-3</v>
      </c>
      <c r="J97">
        <f t="shared" si="5"/>
        <v>257.44</v>
      </c>
    </row>
    <row r="98" spans="1:10" x14ac:dyDescent="0.25">
      <c r="A98" t="s">
        <v>18</v>
      </c>
      <c r="B98">
        <v>60</v>
      </c>
      <c r="C98">
        <v>14762.3</v>
      </c>
      <c r="D98">
        <v>552.80999999999995</v>
      </c>
      <c r="E98">
        <v>91.4</v>
      </c>
      <c r="F98">
        <v>44.195099999999996</v>
      </c>
      <c r="G98">
        <v>4.0099999999999997E-2</v>
      </c>
      <c r="H98">
        <f t="shared" si="3"/>
        <v>3.7447416730455277E-2</v>
      </c>
      <c r="I98">
        <f t="shared" si="4"/>
        <v>6.1914471322219444E-3</v>
      </c>
      <c r="J98">
        <f t="shared" si="5"/>
        <v>461.40999999999997</v>
      </c>
    </row>
    <row r="99" spans="1:10" x14ac:dyDescent="0.25">
      <c r="A99" t="s">
        <v>18</v>
      </c>
      <c r="B99">
        <v>65</v>
      </c>
      <c r="C99">
        <v>14762.3</v>
      </c>
      <c r="D99">
        <v>653.19000000000005</v>
      </c>
      <c r="E99">
        <v>92.66</v>
      </c>
      <c r="F99">
        <v>44.634900000000002</v>
      </c>
      <c r="G99">
        <v>4.4200000000000003E-2</v>
      </c>
      <c r="H99">
        <f t="shared" si="3"/>
        <v>4.4247170156411948E-2</v>
      </c>
      <c r="I99">
        <f t="shared" si="4"/>
        <v>6.2767996856858349E-3</v>
      </c>
      <c r="J99">
        <f t="shared" si="5"/>
        <v>560.53000000000009</v>
      </c>
    </row>
    <row r="100" spans="1:10" x14ac:dyDescent="0.25">
      <c r="A100" t="s">
        <v>18</v>
      </c>
      <c r="B100">
        <v>70</v>
      </c>
      <c r="C100">
        <v>14762.3</v>
      </c>
      <c r="D100">
        <v>669.71</v>
      </c>
      <c r="E100">
        <v>95.08</v>
      </c>
      <c r="F100">
        <v>44.819000000000003</v>
      </c>
      <c r="G100">
        <v>4.3299999999999998E-2</v>
      </c>
      <c r="H100">
        <f t="shared" si="3"/>
        <v>4.5366236968494074E-2</v>
      </c>
      <c r="I100">
        <f t="shared" si="4"/>
        <v>6.4407307804339436E-3</v>
      </c>
      <c r="J100">
        <f t="shared" si="5"/>
        <v>574.63</v>
      </c>
    </row>
    <row r="101" spans="1:10" x14ac:dyDescent="0.25">
      <c r="A101" t="s">
        <v>18</v>
      </c>
      <c r="B101">
        <v>75</v>
      </c>
      <c r="C101">
        <v>14762.3</v>
      </c>
      <c r="D101">
        <v>694.24</v>
      </c>
      <c r="E101">
        <v>100.42</v>
      </c>
      <c r="F101">
        <v>44.967599999999997</v>
      </c>
      <c r="G101">
        <v>4.1799999999999997E-2</v>
      </c>
      <c r="H101">
        <f t="shared" si="3"/>
        <v>4.7027902156168082E-2</v>
      </c>
      <c r="I101">
        <f t="shared" si="4"/>
        <v>6.8024630308285297E-3</v>
      </c>
      <c r="J101">
        <f t="shared" si="5"/>
        <v>593.82000000000005</v>
      </c>
    </row>
    <row r="102" spans="1:10" x14ac:dyDescent="0.25">
      <c r="A102" t="s">
        <v>18</v>
      </c>
      <c r="B102">
        <v>80</v>
      </c>
      <c r="C102">
        <v>14762.3</v>
      </c>
      <c r="D102">
        <v>728.85</v>
      </c>
      <c r="E102">
        <v>107.55</v>
      </c>
      <c r="F102">
        <v>44.957000000000001</v>
      </c>
      <c r="G102">
        <v>4.0099999999999997E-2</v>
      </c>
      <c r="H102">
        <f t="shared" si="3"/>
        <v>4.9372387771553214E-2</v>
      </c>
      <c r="I102">
        <f t="shared" si="4"/>
        <v>7.2854500992392789E-3</v>
      </c>
      <c r="J102">
        <f t="shared" si="5"/>
        <v>621.30000000000007</v>
      </c>
    </row>
    <row r="103" spans="1:10" x14ac:dyDescent="0.25">
      <c r="A103" t="s">
        <v>18</v>
      </c>
      <c r="B103">
        <v>85</v>
      </c>
      <c r="C103">
        <v>14762.3</v>
      </c>
      <c r="D103">
        <v>785.07</v>
      </c>
      <c r="E103">
        <v>117.09</v>
      </c>
      <c r="F103">
        <v>45.200699999999998</v>
      </c>
      <c r="G103">
        <v>4.4200000000000003E-2</v>
      </c>
      <c r="H103">
        <f t="shared" si="3"/>
        <v>5.3180737418965889E-2</v>
      </c>
      <c r="I103">
        <f t="shared" si="4"/>
        <v>7.9316908611801688E-3</v>
      </c>
      <c r="J103">
        <f t="shared" si="5"/>
        <v>667.98</v>
      </c>
    </row>
    <row r="104" spans="1:10" x14ac:dyDescent="0.25">
      <c r="A104" t="s">
        <v>18</v>
      </c>
      <c r="B104">
        <v>90</v>
      </c>
      <c r="C104">
        <v>14762.3</v>
      </c>
      <c r="D104">
        <v>1029.8499999999999</v>
      </c>
      <c r="E104">
        <v>134.62</v>
      </c>
      <c r="F104">
        <v>45.349499999999999</v>
      </c>
      <c r="G104">
        <v>4.1000000000000002E-2</v>
      </c>
      <c r="H104">
        <f t="shared" si="3"/>
        <v>6.976216443237164E-2</v>
      </c>
      <c r="I104">
        <f t="shared" si="4"/>
        <v>9.1191751962770035E-3</v>
      </c>
      <c r="J104">
        <f t="shared" si="5"/>
        <v>895.2299999999999</v>
      </c>
    </row>
    <row r="105" spans="1:10" x14ac:dyDescent="0.25">
      <c r="A105" t="s">
        <v>18</v>
      </c>
      <c r="B105">
        <v>95</v>
      </c>
      <c r="C105">
        <v>14762.3</v>
      </c>
      <c r="D105">
        <v>1415.38</v>
      </c>
      <c r="E105">
        <v>191</v>
      </c>
      <c r="F105">
        <v>45.914200000000001</v>
      </c>
      <c r="G105">
        <v>4.24E-2</v>
      </c>
      <c r="H105">
        <f t="shared" si="3"/>
        <v>9.5878013588668445E-2</v>
      </c>
      <c r="I105">
        <f t="shared" si="4"/>
        <v>1.2938363263177148E-2</v>
      </c>
      <c r="J105">
        <f t="shared" si="5"/>
        <v>1224.3800000000001</v>
      </c>
    </row>
    <row r="106" spans="1:10" x14ac:dyDescent="0.25">
      <c r="A106" t="s">
        <v>18</v>
      </c>
      <c r="B106">
        <v>100</v>
      </c>
      <c r="C106">
        <v>14762.3</v>
      </c>
      <c r="D106">
        <v>2447.96</v>
      </c>
      <c r="E106">
        <v>423.08</v>
      </c>
      <c r="F106">
        <v>49.160600000000002</v>
      </c>
      <c r="G106">
        <v>4.7E-2</v>
      </c>
      <c r="H106">
        <f t="shared" si="3"/>
        <v>0.16582510855354518</v>
      </c>
      <c r="I106">
        <f t="shared" si="4"/>
        <v>2.8659490729764332E-2</v>
      </c>
      <c r="J106">
        <f t="shared" si="5"/>
        <v>2024.88</v>
      </c>
    </row>
    <row r="107" spans="1:10" x14ac:dyDescent="0.25">
      <c r="A107" t="s">
        <v>8</v>
      </c>
      <c r="B107">
        <v>0</v>
      </c>
      <c r="C107">
        <v>398.17</v>
      </c>
      <c r="D107">
        <v>14.7</v>
      </c>
      <c r="E107">
        <v>6.5</v>
      </c>
      <c r="F107">
        <v>5.0739000000000001</v>
      </c>
      <c r="G107">
        <v>0</v>
      </c>
      <c r="H107">
        <f t="shared" si="3"/>
        <v>3.6918903985734733E-2</v>
      </c>
      <c r="I107">
        <f t="shared" si="4"/>
        <v>1.63246854358691E-2</v>
      </c>
      <c r="J107">
        <f t="shared" si="5"/>
        <v>8.1999999999999993</v>
      </c>
    </row>
    <row r="108" spans="1:10" x14ac:dyDescent="0.25">
      <c r="A108" t="s">
        <v>8</v>
      </c>
      <c r="B108">
        <v>5</v>
      </c>
      <c r="C108">
        <v>398.17</v>
      </c>
      <c r="D108">
        <v>16.18</v>
      </c>
      <c r="E108">
        <v>6.52</v>
      </c>
      <c r="F108">
        <v>5.0956000000000001</v>
      </c>
      <c r="G108">
        <v>0</v>
      </c>
      <c r="H108">
        <f t="shared" si="3"/>
        <v>4.0635909284978775E-2</v>
      </c>
      <c r="I108">
        <f t="shared" si="4"/>
        <v>1.6374915237210234E-2</v>
      </c>
      <c r="J108">
        <f t="shared" si="5"/>
        <v>9.66</v>
      </c>
    </row>
    <row r="109" spans="1:10" x14ac:dyDescent="0.25">
      <c r="A109" t="s">
        <v>8</v>
      </c>
      <c r="B109">
        <v>10</v>
      </c>
      <c r="C109">
        <v>398.17</v>
      </c>
      <c r="D109">
        <v>20.7</v>
      </c>
      <c r="E109">
        <v>6.74</v>
      </c>
      <c r="F109">
        <v>5.1163999999999996</v>
      </c>
      <c r="G109">
        <v>0</v>
      </c>
      <c r="H109">
        <f t="shared" si="3"/>
        <v>5.1987844388075438E-2</v>
      </c>
      <c r="I109">
        <f t="shared" si="4"/>
        <v>1.692744305196273E-2</v>
      </c>
      <c r="J109">
        <f t="shared" si="5"/>
        <v>13.959999999999999</v>
      </c>
    </row>
    <row r="110" spans="1:10" x14ac:dyDescent="0.25">
      <c r="A110" t="s">
        <v>8</v>
      </c>
      <c r="B110">
        <v>15</v>
      </c>
      <c r="C110">
        <v>398.17</v>
      </c>
      <c r="D110">
        <v>24.78</v>
      </c>
      <c r="E110">
        <v>6.9</v>
      </c>
      <c r="F110">
        <v>5.3014000000000001</v>
      </c>
      <c r="G110">
        <v>0</v>
      </c>
      <c r="H110">
        <f t="shared" si="3"/>
        <v>6.2234723861667125E-2</v>
      </c>
      <c r="I110">
        <f t="shared" si="4"/>
        <v>1.7329281462691814E-2</v>
      </c>
      <c r="J110">
        <f t="shared" si="5"/>
        <v>17.880000000000003</v>
      </c>
    </row>
    <row r="111" spans="1:10" x14ac:dyDescent="0.25">
      <c r="A111" t="s">
        <v>8</v>
      </c>
      <c r="B111">
        <v>20</v>
      </c>
      <c r="C111">
        <v>398.17</v>
      </c>
      <c r="D111">
        <v>28.76</v>
      </c>
      <c r="E111">
        <v>7.22</v>
      </c>
      <c r="F111">
        <v>5.0888999999999998</v>
      </c>
      <c r="G111">
        <v>0</v>
      </c>
      <c r="H111">
        <f t="shared" si="3"/>
        <v>7.2230454328553129E-2</v>
      </c>
      <c r="I111">
        <f t="shared" si="4"/>
        <v>1.8132958284149986E-2</v>
      </c>
      <c r="J111">
        <f t="shared" si="5"/>
        <v>21.540000000000003</v>
      </c>
    </row>
    <row r="112" spans="1:10" x14ac:dyDescent="0.25">
      <c r="A112" t="s">
        <v>8</v>
      </c>
      <c r="B112">
        <v>25</v>
      </c>
      <c r="C112">
        <v>398.17</v>
      </c>
      <c r="D112">
        <v>32.35</v>
      </c>
      <c r="E112">
        <v>7.34</v>
      </c>
      <c r="F112">
        <v>5.1764000000000001</v>
      </c>
      <c r="G112">
        <v>0</v>
      </c>
      <c r="H112">
        <f t="shared" si="3"/>
        <v>8.124670366928699E-2</v>
      </c>
      <c r="I112">
        <f t="shared" si="4"/>
        <v>1.8434337092196801E-2</v>
      </c>
      <c r="J112">
        <f t="shared" si="5"/>
        <v>25.01</v>
      </c>
    </row>
    <row r="113" spans="1:10" x14ac:dyDescent="0.25">
      <c r="A113" t="s">
        <v>8</v>
      </c>
      <c r="B113">
        <v>30</v>
      </c>
      <c r="C113">
        <v>398.17</v>
      </c>
      <c r="D113">
        <v>35.659999999999997</v>
      </c>
      <c r="E113">
        <v>7.58</v>
      </c>
      <c r="F113">
        <v>5.1463000000000001</v>
      </c>
      <c r="G113">
        <v>0</v>
      </c>
      <c r="H113">
        <f t="shared" si="3"/>
        <v>8.9559735791244932E-2</v>
      </c>
      <c r="I113">
        <f t="shared" si="4"/>
        <v>1.9037094708290427E-2</v>
      </c>
      <c r="J113">
        <f t="shared" si="5"/>
        <v>28.08</v>
      </c>
    </row>
    <row r="114" spans="1:10" x14ac:dyDescent="0.25">
      <c r="A114" t="s">
        <v>8</v>
      </c>
      <c r="B114">
        <v>35</v>
      </c>
      <c r="C114">
        <v>398.17</v>
      </c>
      <c r="D114">
        <v>38.74</v>
      </c>
      <c r="E114">
        <v>7.92</v>
      </c>
      <c r="F114">
        <v>5.1696999999999997</v>
      </c>
      <c r="G114">
        <v>0</v>
      </c>
      <c r="H114">
        <f t="shared" si="3"/>
        <v>9.7295125197779844E-2</v>
      </c>
      <c r="I114">
        <f t="shared" si="4"/>
        <v>1.9891001331089734E-2</v>
      </c>
      <c r="J114">
        <f t="shared" si="5"/>
        <v>30.82</v>
      </c>
    </row>
    <row r="115" spans="1:10" x14ac:dyDescent="0.25">
      <c r="A115" t="s">
        <v>8</v>
      </c>
      <c r="B115">
        <v>40</v>
      </c>
      <c r="C115">
        <v>398.17</v>
      </c>
      <c r="D115">
        <v>41.26</v>
      </c>
      <c r="E115">
        <v>8.1300000000000008</v>
      </c>
      <c r="F115">
        <v>5.1639999999999997</v>
      </c>
      <c r="G115">
        <v>0</v>
      </c>
      <c r="H115">
        <f t="shared" si="3"/>
        <v>0.10362408016676293</v>
      </c>
      <c r="I115">
        <f t="shared" si="4"/>
        <v>2.041841424517166E-2</v>
      </c>
      <c r="J115">
        <f t="shared" si="5"/>
        <v>33.129999999999995</v>
      </c>
    </row>
    <row r="116" spans="1:10" x14ac:dyDescent="0.25">
      <c r="A116" t="s">
        <v>8</v>
      </c>
      <c r="B116">
        <v>45</v>
      </c>
      <c r="C116">
        <v>398.17</v>
      </c>
      <c r="D116">
        <v>44.21</v>
      </c>
      <c r="E116">
        <v>8.51</v>
      </c>
      <c r="F116">
        <v>5.3623000000000003</v>
      </c>
      <c r="G116">
        <v>0</v>
      </c>
      <c r="H116">
        <f t="shared" si="3"/>
        <v>0.11103297586458045</v>
      </c>
      <c r="I116">
        <f t="shared" si="4"/>
        <v>2.1372780470653236E-2</v>
      </c>
      <c r="J116">
        <f t="shared" si="5"/>
        <v>35.700000000000003</v>
      </c>
    </row>
    <row r="117" spans="1:10" x14ac:dyDescent="0.25">
      <c r="A117" t="s">
        <v>8</v>
      </c>
      <c r="B117">
        <v>50</v>
      </c>
      <c r="C117">
        <v>398.17</v>
      </c>
      <c r="D117">
        <v>46.92</v>
      </c>
      <c r="E117">
        <v>8.7899999999999991</v>
      </c>
      <c r="F117">
        <v>5.2469999999999999</v>
      </c>
      <c r="G117">
        <v>1.5699999999999999E-2</v>
      </c>
      <c r="H117">
        <f t="shared" si="3"/>
        <v>0.11783911394630434</v>
      </c>
      <c r="I117">
        <f t="shared" si="4"/>
        <v>2.2075997689429135E-2</v>
      </c>
      <c r="J117">
        <f t="shared" si="5"/>
        <v>38.130000000000003</v>
      </c>
    </row>
    <row r="118" spans="1:10" x14ac:dyDescent="0.25">
      <c r="A118" t="s">
        <v>8</v>
      </c>
      <c r="B118">
        <v>55</v>
      </c>
      <c r="C118">
        <v>398.17</v>
      </c>
      <c r="D118">
        <v>49.42</v>
      </c>
      <c r="E118">
        <v>9.1199999999999992</v>
      </c>
      <c r="F118">
        <v>5.2230999999999996</v>
      </c>
      <c r="G118">
        <v>4.0000000000000001E-3</v>
      </c>
      <c r="H118">
        <f t="shared" si="3"/>
        <v>0.1241178391139463</v>
      </c>
      <c r="I118">
        <f t="shared" si="4"/>
        <v>2.2904789411557873E-2</v>
      </c>
      <c r="J118">
        <f t="shared" si="5"/>
        <v>40.300000000000004</v>
      </c>
    </row>
    <row r="119" spans="1:10" x14ac:dyDescent="0.25">
      <c r="A119" t="s">
        <v>8</v>
      </c>
      <c r="B119">
        <v>60</v>
      </c>
      <c r="C119">
        <v>398.17</v>
      </c>
      <c r="D119">
        <v>52.81</v>
      </c>
      <c r="E119">
        <v>9.67</v>
      </c>
      <c r="F119">
        <v>5.21</v>
      </c>
      <c r="G119">
        <v>3.0000000000000001E-3</v>
      </c>
      <c r="H119">
        <f t="shared" si="3"/>
        <v>0.1326317904412688</v>
      </c>
      <c r="I119">
        <f t="shared" si="4"/>
        <v>2.4286108948439109E-2</v>
      </c>
      <c r="J119">
        <f t="shared" si="5"/>
        <v>43.14</v>
      </c>
    </row>
    <row r="120" spans="1:10" x14ac:dyDescent="0.25">
      <c r="A120" t="s">
        <v>8</v>
      </c>
      <c r="B120">
        <v>65</v>
      </c>
      <c r="C120">
        <v>398.17</v>
      </c>
      <c r="D120">
        <v>57.17</v>
      </c>
      <c r="E120">
        <v>10.23</v>
      </c>
      <c r="F120">
        <v>5.2008999999999999</v>
      </c>
      <c r="G120">
        <v>3.0000000000000001E-3</v>
      </c>
      <c r="H120">
        <f t="shared" si="3"/>
        <v>0.1435818871336364</v>
      </c>
      <c r="I120">
        <f t="shared" si="4"/>
        <v>2.5692543385990908E-2</v>
      </c>
      <c r="J120">
        <f t="shared" si="5"/>
        <v>46.94</v>
      </c>
    </row>
    <row r="121" spans="1:10" x14ac:dyDescent="0.25">
      <c r="A121" t="s">
        <v>8</v>
      </c>
      <c r="B121">
        <v>70</v>
      </c>
      <c r="C121">
        <v>398.17</v>
      </c>
      <c r="D121">
        <v>62.06</v>
      </c>
      <c r="E121">
        <v>10.95</v>
      </c>
      <c r="F121">
        <v>5.1920000000000002</v>
      </c>
      <c r="G121">
        <v>4.0000000000000001E-3</v>
      </c>
      <c r="H121">
        <f t="shared" si="3"/>
        <v>0.15586307356154405</v>
      </c>
      <c r="I121">
        <f t="shared" si="4"/>
        <v>2.750081623427179E-2</v>
      </c>
      <c r="J121">
        <f t="shared" si="5"/>
        <v>51.11</v>
      </c>
    </row>
    <row r="122" spans="1:10" x14ac:dyDescent="0.25">
      <c r="A122" t="s">
        <v>8</v>
      </c>
      <c r="B122">
        <v>75</v>
      </c>
      <c r="C122">
        <v>398.17</v>
      </c>
      <c r="D122">
        <v>67.709999999999994</v>
      </c>
      <c r="E122">
        <v>12.07</v>
      </c>
      <c r="F122">
        <v>5.2819000000000003</v>
      </c>
      <c r="G122">
        <v>3.0000000000000001E-3</v>
      </c>
      <c r="H122">
        <f t="shared" si="3"/>
        <v>0.17005299244041489</v>
      </c>
      <c r="I122">
        <f t="shared" si="4"/>
        <v>3.0313685109375391E-2</v>
      </c>
      <c r="J122">
        <f t="shared" si="5"/>
        <v>55.639999999999993</v>
      </c>
    </row>
    <row r="123" spans="1:10" x14ac:dyDescent="0.25">
      <c r="A123" t="s">
        <v>8</v>
      </c>
      <c r="B123">
        <v>80</v>
      </c>
      <c r="C123">
        <v>398.17</v>
      </c>
      <c r="D123">
        <v>76.58</v>
      </c>
      <c r="E123">
        <v>13.96</v>
      </c>
      <c r="F123">
        <v>5.2994000000000003</v>
      </c>
      <c r="G123">
        <v>4.0000000000000001E-3</v>
      </c>
      <c r="H123">
        <f t="shared" si="3"/>
        <v>0.19232990933520858</v>
      </c>
      <c r="I123">
        <f t="shared" si="4"/>
        <v>3.5060401336112719E-2</v>
      </c>
      <c r="J123">
        <f t="shared" si="5"/>
        <v>62.62</v>
      </c>
    </row>
    <row r="124" spans="1:10" x14ac:dyDescent="0.25">
      <c r="A124" t="s">
        <v>8</v>
      </c>
      <c r="B124">
        <v>85</v>
      </c>
      <c r="C124">
        <v>398.17</v>
      </c>
      <c r="D124">
        <v>88.73</v>
      </c>
      <c r="E124">
        <v>16.809999999999999</v>
      </c>
      <c r="F124">
        <v>5.3160999999999996</v>
      </c>
      <c r="G124">
        <v>4.0000000000000001E-3</v>
      </c>
      <c r="H124">
        <f t="shared" si="3"/>
        <v>0.22284451364994851</v>
      </c>
      <c r="I124">
        <f t="shared" si="4"/>
        <v>4.2218148027224546E-2</v>
      </c>
      <c r="J124">
        <f t="shared" si="5"/>
        <v>71.92</v>
      </c>
    </row>
    <row r="125" spans="1:10" x14ac:dyDescent="0.25">
      <c r="A125" t="s">
        <v>8</v>
      </c>
      <c r="B125">
        <v>90</v>
      </c>
      <c r="C125">
        <v>398.17</v>
      </c>
      <c r="D125">
        <v>110.25</v>
      </c>
      <c r="E125">
        <v>22.16</v>
      </c>
      <c r="F125">
        <v>5.4025999999999996</v>
      </c>
      <c r="G125">
        <v>4.0000000000000001E-3</v>
      </c>
      <c r="H125">
        <f t="shared" si="3"/>
        <v>0.2768917798930105</v>
      </c>
      <c r="I125">
        <f t="shared" si="4"/>
        <v>5.5654619885978349E-2</v>
      </c>
      <c r="J125">
        <f t="shared" si="5"/>
        <v>88.09</v>
      </c>
    </row>
    <row r="126" spans="1:10" x14ac:dyDescent="0.25">
      <c r="A126" t="s">
        <v>8</v>
      </c>
      <c r="B126">
        <v>95</v>
      </c>
      <c r="C126">
        <v>398.17</v>
      </c>
      <c r="D126">
        <v>157.09</v>
      </c>
      <c r="E126">
        <v>35.299999999999997</v>
      </c>
      <c r="F126">
        <v>5.7084000000000001</v>
      </c>
      <c r="G126">
        <v>4.0000000000000001E-3</v>
      </c>
      <c r="H126">
        <f t="shared" si="3"/>
        <v>0.39452997463395034</v>
      </c>
      <c r="I126">
        <f t="shared" si="4"/>
        <v>8.8655599367104487E-2</v>
      </c>
      <c r="J126">
        <f t="shared" si="5"/>
        <v>121.79</v>
      </c>
    </row>
    <row r="127" spans="1:10" x14ac:dyDescent="0.25">
      <c r="A127" t="s">
        <v>8</v>
      </c>
      <c r="B127">
        <v>100</v>
      </c>
      <c r="C127">
        <v>398.17</v>
      </c>
      <c r="D127">
        <v>287.3</v>
      </c>
      <c r="E127">
        <v>87.54</v>
      </c>
      <c r="F127">
        <v>6.2565999999999997</v>
      </c>
      <c r="G127">
        <v>5.0000000000000001E-3</v>
      </c>
      <c r="H127">
        <f t="shared" si="3"/>
        <v>0.72155109626541425</v>
      </c>
      <c r="I127">
        <f t="shared" si="4"/>
        <v>0.21985584047015094</v>
      </c>
      <c r="J127">
        <f t="shared" si="5"/>
        <v>199.76</v>
      </c>
    </row>
    <row r="128" spans="1:10" x14ac:dyDescent="0.25">
      <c r="A128" t="s">
        <v>9</v>
      </c>
      <c r="B128">
        <v>0</v>
      </c>
      <c r="C128">
        <v>95.64</v>
      </c>
      <c r="D128">
        <v>25.47</v>
      </c>
      <c r="E128">
        <v>11.2</v>
      </c>
      <c r="F128">
        <v>5.4141000000000004</v>
      </c>
      <c r="G128">
        <v>6.0000000000000001E-3</v>
      </c>
      <c r="H128">
        <f t="shared" si="3"/>
        <v>0.26631116687578416</v>
      </c>
      <c r="I128">
        <f t="shared" si="4"/>
        <v>0.11710581346716854</v>
      </c>
      <c r="J128">
        <f t="shared" si="5"/>
        <v>14.27</v>
      </c>
    </row>
    <row r="129" spans="1:10" x14ac:dyDescent="0.25">
      <c r="A129" t="s">
        <v>9</v>
      </c>
      <c r="B129">
        <v>5</v>
      </c>
      <c r="C129">
        <v>95.64</v>
      </c>
      <c r="D129">
        <v>29.1</v>
      </c>
      <c r="E129">
        <v>11.36</v>
      </c>
      <c r="F129">
        <v>5.4066000000000001</v>
      </c>
      <c r="G129">
        <v>6.0000000000000001E-3</v>
      </c>
      <c r="H129">
        <f t="shared" si="3"/>
        <v>0.30426599749058975</v>
      </c>
      <c r="I129">
        <f t="shared" si="4"/>
        <v>0.11877875365955666</v>
      </c>
      <c r="J129">
        <f t="shared" si="5"/>
        <v>17.740000000000002</v>
      </c>
    </row>
    <row r="130" spans="1:10" x14ac:dyDescent="0.25">
      <c r="A130" t="s">
        <v>9</v>
      </c>
      <c r="B130">
        <v>10</v>
      </c>
      <c r="C130">
        <v>95.64</v>
      </c>
      <c r="D130">
        <v>35.9</v>
      </c>
      <c r="E130">
        <v>12.53</v>
      </c>
      <c r="F130">
        <v>5.4455</v>
      </c>
      <c r="G130">
        <v>5.0000000000000001E-3</v>
      </c>
      <c r="H130">
        <f t="shared" si="3"/>
        <v>0.37536595566708486</v>
      </c>
      <c r="I130">
        <f t="shared" si="4"/>
        <v>0.13101212881639482</v>
      </c>
      <c r="J130">
        <f t="shared" si="5"/>
        <v>23.369999999999997</v>
      </c>
    </row>
    <row r="131" spans="1:10" x14ac:dyDescent="0.25">
      <c r="A131" t="s">
        <v>9</v>
      </c>
      <c r="B131">
        <v>15</v>
      </c>
      <c r="C131">
        <v>95.64</v>
      </c>
      <c r="D131">
        <v>42.4</v>
      </c>
      <c r="E131">
        <v>13.57</v>
      </c>
      <c r="F131">
        <v>5.4753999999999996</v>
      </c>
      <c r="G131">
        <v>6.0000000000000001E-3</v>
      </c>
      <c r="H131">
        <f t="shared" ref="H131:H194" si="6">D131/C131</f>
        <v>0.44332915098285236</v>
      </c>
      <c r="I131">
        <f t="shared" ref="I131:I194" si="7">E131/C131</f>
        <v>0.14188624006691761</v>
      </c>
      <c r="J131">
        <f t="shared" ref="J131:J194" si="8">D131-E131</f>
        <v>28.83</v>
      </c>
    </row>
    <row r="132" spans="1:10" x14ac:dyDescent="0.25">
      <c r="A132" t="s">
        <v>9</v>
      </c>
      <c r="B132">
        <v>20</v>
      </c>
      <c r="C132">
        <v>95.64</v>
      </c>
      <c r="D132">
        <v>48.89</v>
      </c>
      <c r="E132">
        <v>14.76</v>
      </c>
      <c r="F132">
        <v>5.4771000000000001</v>
      </c>
      <c r="G132">
        <v>5.3E-3</v>
      </c>
      <c r="H132">
        <f t="shared" si="6"/>
        <v>0.51118778753659555</v>
      </c>
      <c r="I132">
        <f t="shared" si="7"/>
        <v>0.15432873274780426</v>
      </c>
      <c r="J132">
        <f t="shared" si="8"/>
        <v>34.130000000000003</v>
      </c>
    </row>
    <row r="133" spans="1:10" x14ac:dyDescent="0.25">
      <c r="A133" t="s">
        <v>9</v>
      </c>
      <c r="B133">
        <v>25</v>
      </c>
      <c r="C133">
        <v>95.64</v>
      </c>
      <c r="D133">
        <v>54.49</v>
      </c>
      <c r="E133">
        <v>15.8</v>
      </c>
      <c r="F133">
        <v>5.7720000000000002</v>
      </c>
      <c r="G133">
        <v>6.0000000000000001E-3</v>
      </c>
      <c r="H133">
        <f t="shared" si="6"/>
        <v>0.56974069427017981</v>
      </c>
      <c r="I133">
        <f t="shared" si="7"/>
        <v>0.16520284399832708</v>
      </c>
      <c r="J133">
        <f t="shared" si="8"/>
        <v>38.69</v>
      </c>
    </row>
    <row r="134" spans="1:10" x14ac:dyDescent="0.25">
      <c r="A134" t="s">
        <v>9</v>
      </c>
      <c r="B134">
        <v>30</v>
      </c>
      <c r="C134">
        <v>95.64</v>
      </c>
      <c r="D134">
        <v>58.9</v>
      </c>
      <c r="E134">
        <v>16.91</v>
      </c>
      <c r="F134">
        <v>5.524</v>
      </c>
      <c r="G134">
        <v>5.4999999999999997E-3</v>
      </c>
      <c r="H134">
        <f t="shared" si="6"/>
        <v>0.61585110832287748</v>
      </c>
      <c r="I134">
        <f t="shared" si="7"/>
        <v>0.17680886658301967</v>
      </c>
      <c r="J134">
        <f t="shared" si="8"/>
        <v>41.989999999999995</v>
      </c>
    </row>
    <row r="135" spans="1:10" x14ac:dyDescent="0.25">
      <c r="A135" t="s">
        <v>9</v>
      </c>
      <c r="B135">
        <v>35</v>
      </c>
      <c r="C135">
        <v>95.64</v>
      </c>
      <c r="D135">
        <v>65.58</v>
      </c>
      <c r="E135">
        <v>17.899999999999999</v>
      </c>
      <c r="F135">
        <v>5.5319000000000003</v>
      </c>
      <c r="G135">
        <v>6.8999999999999999E-3</v>
      </c>
      <c r="H135">
        <f t="shared" si="6"/>
        <v>0.6856963613550815</v>
      </c>
      <c r="I135">
        <f t="shared" si="7"/>
        <v>0.18716018402342113</v>
      </c>
      <c r="J135">
        <f t="shared" si="8"/>
        <v>47.68</v>
      </c>
    </row>
    <row r="136" spans="1:10" x14ac:dyDescent="0.25">
      <c r="A136" t="s">
        <v>9</v>
      </c>
      <c r="B136">
        <v>40</v>
      </c>
      <c r="C136">
        <v>95.64</v>
      </c>
      <c r="D136">
        <v>70.03</v>
      </c>
      <c r="E136">
        <v>18.73</v>
      </c>
      <c r="F136">
        <v>5.5867000000000004</v>
      </c>
      <c r="G136">
        <v>6.0000000000000001E-3</v>
      </c>
      <c r="H136">
        <f t="shared" si="6"/>
        <v>0.73222501045587618</v>
      </c>
      <c r="I136">
        <f t="shared" si="7"/>
        <v>0.19583856127143454</v>
      </c>
      <c r="J136">
        <f t="shared" si="8"/>
        <v>51.3</v>
      </c>
    </row>
    <row r="137" spans="1:10" x14ac:dyDescent="0.25">
      <c r="A137" t="s">
        <v>9</v>
      </c>
      <c r="B137">
        <v>45</v>
      </c>
      <c r="C137">
        <v>95.64</v>
      </c>
      <c r="D137">
        <v>73.5</v>
      </c>
      <c r="E137">
        <v>20.09</v>
      </c>
      <c r="F137">
        <v>5.5622999999999996</v>
      </c>
      <c r="G137">
        <v>6.1000000000000004E-3</v>
      </c>
      <c r="H137">
        <f t="shared" si="6"/>
        <v>0.76850690087829354</v>
      </c>
      <c r="I137">
        <f t="shared" si="7"/>
        <v>0.21005855290673359</v>
      </c>
      <c r="J137">
        <f t="shared" si="8"/>
        <v>53.41</v>
      </c>
    </row>
    <row r="138" spans="1:10" x14ac:dyDescent="0.25">
      <c r="A138" t="s">
        <v>9</v>
      </c>
      <c r="B138">
        <v>50</v>
      </c>
      <c r="C138">
        <v>95.64</v>
      </c>
      <c r="D138">
        <v>75.73</v>
      </c>
      <c r="E138">
        <v>21.04</v>
      </c>
      <c r="F138">
        <v>5.6154000000000002</v>
      </c>
      <c r="G138">
        <v>6.0000000000000001E-3</v>
      </c>
      <c r="H138">
        <f t="shared" si="6"/>
        <v>0.79182350480970309</v>
      </c>
      <c r="I138">
        <f t="shared" si="7"/>
        <v>0.21999163529903806</v>
      </c>
      <c r="J138">
        <f t="shared" si="8"/>
        <v>54.690000000000005</v>
      </c>
    </row>
    <row r="139" spans="1:10" x14ac:dyDescent="0.25">
      <c r="A139" t="s">
        <v>9</v>
      </c>
      <c r="B139">
        <v>55</v>
      </c>
      <c r="C139">
        <v>95.64</v>
      </c>
      <c r="D139">
        <v>78.260000000000005</v>
      </c>
      <c r="E139">
        <v>22.12</v>
      </c>
      <c r="F139">
        <v>5.6397000000000004</v>
      </c>
      <c r="G139">
        <v>7.0000000000000001E-3</v>
      </c>
      <c r="H139">
        <f t="shared" si="6"/>
        <v>0.81827687160184026</v>
      </c>
      <c r="I139">
        <f t="shared" si="7"/>
        <v>0.23128398159765789</v>
      </c>
      <c r="J139">
        <f t="shared" si="8"/>
        <v>56.14</v>
      </c>
    </row>
    <row r="140" spans="1:10" x14ac:dyDescent="0.25">
      <c r="A140" t="s">
        <v>9</v>
      </c>
      <c r="B140">
        <v>60</v>
      </c>
      <c r="C140">
        <v>95.64</v>
      </c>
      <c r="D140">
        <v>87.75</v>
      </c>
      <c r="E140">
        <v>23.8</v>
      </c>
      <c r="F140">
        <v>5.6414</v>
      </c>
      <c r="G140">
        <v>6.0000000000000001E-3</v>
      </c>
      <c r="H140">
        <f t="shared" si="6"/>
        <v>0.91750313676286077</v>
      </c>
      <c r="I140">
        <f t="shared" si="7"/>
        <v>0.24884985361773318</v>
      </c>
      <c r="J140">
        <f t="shared" si="8"/>
        <v>63.95</v>
      </c>
    </row>
    <row r="141" spans="1:10" x14ac:dyDescent="0.25">
      <c r="A141" t="s">
        <v>9</v>
      </c>
      <c r="B141">
        <v>65</v>
      </c>
      <c r="C141">
        <v>95.64</v>
      </c>
      <c r="D141">
        <v>95.27</v>
      </c>
      <c r="E141">
        <v>25.75</v>
      </c>
      <c r="F141">
        <v>5.6649000000000003</v>
      </c>
      <c r="G141">
        <v>6.0000000000000001E-3</v>
      </c>
      <c r="H141">
        <f t="shared" si="6"/>
        <v>0.99613132580510244</v>
      </c>
      <c r="I141">
        <f t="shared" si="7"/>
        <v>0.26923881221246343</v>
      </c>
      <c r="J141">
        <f t="shared" si="8"/>
        <v>69.52</v>
      </c>
    </row>
    <row r="142" spans="1:10" x14ac:dyDescent="0.25">
      <c r="A142" t="s">
        <v>9</v>
      </c>
      <c r="B142">
        <v>70</v>
      </c>
      <c r="C142">
        <v>95.64</v>
      </c>
      <c r="D142">
        <v>98.99</v>
      </c>
      <c r="E142">
        <v>27.54</v>
      </c>
      <c r="F142">
        <v>5.7149000000000001</v>
      </c>
      <c r="G142">
        <v>6.0000000000000001E-3</v>
      </c>
      <c r="H142">
        <f t="shared" si="6"/>
        <v>1.0350271852781263</v>
      </c>
      <c r="I142">
        <f t="shared" si="7"/>
        <v>0.28795483061480553</v>
      </c>
      <c r="J142">
        <f t="shared" si="8"/>
        <v>71.449999999999989</v>
      </c>
    </row>
    <row r="143" spans="1:10" x14ac:dyDescent="0.25">
      <c r="A143" t="s">
        <v>9</v>
      </c>
      <c r="B143">
        <v>75</v>
      </c>
      <c r="C143">
        <v>95.64</v>
      </c>
      <c r="D143">
        <v>103.56</v>
      </c>
      <c r="E143">
        <v>29.98</v>
      </c>
      <c r="F143">
        <v>5.6680999999999999</v>
      </c>
      <c r="G143">
        <v>6.0000000000000001E-3</v>
      </c>
      <c r="H143">
        <f t="shared" si="6"/>
        <v>1.0828105395232122</v>
      </c>
      <c r="I143">
        <f t="shared" si="7"/>
        <v>0.31346716854872436</v>
      </c>
      <c r="J143">
        <f t="shared" si="8"/>
        <v>73.58</v>
      </c>
    </row>
    <row r="144" spans="1:10" x14ac:dyDescent="0.25">
      <c r="A144" t="s">
        <v>9</v>
      </c>
      <c r="B144">
        <v>80</v>
      </c>
      <c r="C144">
        <v>95.64</v>
      </c>
      <c r="D144">
        <v>111.44</v>
      </c>
      <c r="E144">
        <v>34.18</v>
      </c>
      <c r="F144">
        <v>5.9241999999999999</v>
      </c>
      <c r="G144">
        <v>6.0000000000000001E-3</v>
      </c>
      <c r="H144">
        <f t="shared" si="6"/>
        <v>1.1652028439983271</v>
      </c>
      <c r="I144">
        <f t="shared" si="7"/>
        <v>0.35738184859891259</v>
      </c>
      <c r="J144">
        <f t="shared" si="8"/>
        <v>77.259999999999991</v>
      </c>
    </row>
    <row r="145" spans="1:10" x14ac:dyDescent="0.25">
      <c r="A145" t="s">
        <v>9</v>
      </c>
      <c r="B145">
        <v>85</v>
      </c>
      <c r="C145">
        <v>95.64</v>
      </c>
      <c r="D145">
        <v>119.8</v>
      </c>
      <c r="E145">
        <v>38.83</v>
      </c>
      <c r="F145">
        <v>5.6835000000000004</v>
      </c>
      <c r="G145">
        <v>6.0000000000000001E-3</v>
      </c>
      <c r="H145">
        <f t="shared" si="6"/>
        <v>1.2526139690506064</v>
      </c>
      <c r="I145">
        <f t="shared" si="7"/>
        <v>0.40600167294019235</v>
      </c>
      <c r="J145">
        <f t="shared" si="8"/>
        <v>80.97</v>
      </c>
    </row>
    <row r="146" spans="1:10" x14ac:dyDescent="0.25">
      <c r="A146" t="s">
        <v>9</v>
      </c>
      <c r="B146">
        <v>90</v>
      </c>
      <c r="C146">
        <v>95.64</v>
      </c>
      <c r="D146">
        <v>144.46</v>
      </c>
      <c r="E146">
        <v>46.47</v>
      </c>
      <c r="F146">
        <v>5.7507999999999999</v>
      </c>
      <c r="G146">
        <v>6.8999999999999999E-3</v>
      </c>
      <c r="H146">
        <f t="shared" si="6"/>
        <v>1.5104558762024258</v>
      </c>
      <c r="I146">
        <f t="shared" si="7"/>
        <v>0.48588456712672523</v>
      </c>
      <c r="J146">
        <f t="shared" si="8"/>
        <v>97.990000000000009</v>
      </c>
    </row>
    <row r="147" spans="1:10" x14ac:dyDescent="0.25">
      <c r="A147" t="s">
        <v>9</v>
      </c>
      <c r="B147">
        <v>95</v>
      </c>
      <c r="C147">
        <v>95.64</v>
      </c>
      <c r="D147">
        <v>191.02</v>
      </c>
      <c r="E147">
        <v>65.91</v>
      </c>
      <c r="F147">
        <v>5.7507999999999999</v>
      </c>
      <c r="G147">
        <v>5.7999999999999996E-3</v>
      </c>
      <c r="H147">
        <f t="shared" si="6"/>
        <v>1.9972814721873693</v>
      </c>
      <c r="I147">
        <f t="shared" si="7"/>
        <v>0.68914680050188204</v>
      </c>
      <c r="J147">
        <f t="shared" si="8"/>
        <v>125.11000000000001</v>
      </c>
    </row>
    <row r="148" spans="1:10" x14ac:dyDescent="0.25">
      <c r="A148" t="s">
        <v>9</v>
      </c>
      <c r="B148">
        <v>100</v>
      </c>
      <c r="C148">
        <v>95.64</v>
      </c>
      <c r="D148">
        <v>321.24</v>
      </c>
      <c r="E148">
        <v>161.97999999999999</v>
      </c>
      <c r="F148">
        <v>6.2404000000000002</v>
      </c>
      <c r="G148">
        <v>7.0000000000000001E-3</v>
      </c>
      <c r="H148">
        <f t="shared" si="6"/>
        <v>3.3588456712672521</v>
      </c>
      <c r="I148">
        <f t="shared" si="7"/>
        <v>1.693642827268925</v>
      </c>
      <c r="J148">
        <f t="shared" si="8"/>
        <v>159.26000000000002</v>
      </c>
    </row>
    <row r="149" spans="1:10" x14ac:dyDescent="0.25">
      <c r="A149" t="s">
        <v>14</v>
      </c>
      <c r="B149">
        <v>0</v>
      </c>
      <c r="C149">
        <v>1865.26</v>
      </c>
      <c r="D149">
        <v>66.319999999999993</v>
      </c>
      <c r="E149">
        <v>24.25</v>
      </c>
      <c r="F149">
        <v>20.136800000000001</v>
      </c>
      <c r="G149">
        <v>2.0199999999999999E-2</v>
      </c>
      <c r="H149">
        <f t="shared" si="6"/>
        <v>3.5555364935719411E-2</v>
      </c>
      <c r="I149">
        <f t="shared" si="7"/>
        <v>1.3000868511628405E-2</v>
      </c>
      <c r="J149">
        <f t="shared" si="8"/>
        <v>42.069999999999993</v>
      </c>
    </row>
    <row r="150" spans="1:10" x14ac:dyDescent="0.25">
      <c r="A150" t="s">
        <v>14</v>
      </c>
      <c r="B150">
        <v>5</v>
      </c>
      <c r="C150">
        <v>1865.26</v>
      </c>
      <c r="D150">
        <v>78.63</v>
      </c>
      <c r="E150">
        <v>24.67</v>
      </c>
      <c r="F150">
        <v>20.340800000000002</v>
      </c>
      <c r="G150">
        <v>2.0500000000000001E-2</v>
      </c>
      <c r="H150">
        <f t="shared" si="6"/>
        <v>4.2154981075024391E-2</v>
      </c>
      <c r="I150">
        <f t="shared" si="7"/>
        <v>1.3226038193066919E-2</v>
      </c>
      <c r="J150">
        <f t="shared" si="8"/>
        <v>53.959999999999994</v>
      </c>
    </row>
    <row r="151" spans="1:10" x14ac:dyDescent="0.25">
      <c r="A151" t="s">
        <v>14</v>
      </c>
      <c r="B151">
        <v>10</v>
      </c>
      <c r="C151">
        <v>1865.26</v>
      </c>
      <c r="D151">
        <v>104.66</v>
      </c>
      <c r="E151">
        <v>27.84</v>
      </c>
      <c r="F151">
        <v>22.113900000000001</v>
      </c>
      <c r="G151">
        <v>1.24E-2</v>
      </c>
      <c r="H151">
        <f t="shared" si="6"/>
        <v>5.6110140141320777E-2</v>
      </c>
      <c r="I151">
        <f t="shared" si="7"/>
        <v>1.4925533169638549E-2</v>
      </c>
      <c r="J151">
        <f t="shared" si="8"/>
        <v>76.819999999999993</v>
      </c>
    </row>
    <row r="152" spans="1:10" x14ac:dyDescent="0.25">
      <c r="A152" t="s">
        <v>14</v>
      </c>
      <c r="B152">
        <v>15</v>
      </c>
      <c r="C152">
        <v>1865.26</v>
      </c>
      <c r="D152">
        <v>127.75</v>
      </c>
      <c r="E152">
        <v>31.46</v>
      </c>
      <c r="F152">
        <v>21.053699999999999</v>
      </c>
      <c r="G152">
        <v>2.1000000000000001E-2</v>
      </c>
      <c r="H152">
        <f t="shared" si="6"/>
        <v>6.8489111437547587E-2</v>
      </c>
      <c r="I152">
        <f t="shared" si="7"/>
        <v>1.6866281376322872E-2</v>
      </c>
      <c r="J152">
        <f t="shared" si="8"/>
        <v>96.289999999999992</v>
      </c>
    </row>
    <row r="153" spans="1:10" x14ac:dyDescent="0.25">
      <c r="A153" t="s">
        <v>14</v>
      </c>
      <c r="B153">
        <v>20</v>
      </c>
      <c r="C153">
        <v>1865.26</v>
      </c>
      <c r="D153">
        <v>147.81</v>
      </c>
      <c r="E153">
        <v>35.33</v>
      </c>
      <c r="F153">
        <v>20.963000000000001</v>
      </c>
      <c r="G153">
        <v>1.7000000000000001E-2</v>
      </c>
      <c r="H153">
        <f t="shared" si="6"/>
        <v>7.9243644317682257E-2</v>
      </c>
      <c r="I153">
        <f t="shared" si="7"/>
        <v>1.8941059155292022E-2</v>
      </c>
      <c r="J153">
        <f t="shared" si="8"/>
        <v>112.48</v>
      </c>
    </row>
    <row r="154" spans="1:10" x14ac:dyDescent="0.25">
      <c r="A154" t="s">
        <v>14</v>
      </c>
      <c r="B154">
        <v>25</v>
      </c>
      <c r="C154">
        <v>1865.26</v>
      </c>
      <c r="D154">
        <v>167.16</v>
      </c>
      <c r="E154">
        <v>39.15</v>
      </c>
      <c r="F154">
        <v>20.8733</v>
      </c>
      <c r="G154">
        <v>1.2200000000000001E-2</v>
      </c>
      <c r="H154">
        <f t="shared" si="6"/>
        <v>8.9617533212528008E-2</v>
      </c>
      <c r="I154">
        <f t="shared" si="7"/>
        <v>2.0989031019804209E-2</v>
      </c>
      <c r="J154">
        <f t="shared" si="8"/>
        <v>128.01</v>
      </c>
    </row>
    <row r="155" spans="1:10" x14ac:dyDescent="0.25">
      <c r="A155" t="s">
        <v>14</v>
      </c>
      <c r="B155">
        <v>30</v>
      </c>
      <c r="C155">
        <v>1865.26</v>
      </c>
      <c r="D155">
        <v>185.63</v>
      </c>
      <c r="E155">
        <v>42.77</v>
      </c>
      <c r="F155">
        <v>20.972300000000001</v>
      </c>
      <c r="G155">
        <v>1.9800000000000002E-2</v>
      </c>
      <c r="H155">
        <f t="shared" si="6"/>
        <v>9.9519638012931178E-2</v>
      </c>
      <c r="I155">
        <f t="shared" si="7"/>
        <v>2.2929779226488534E-2</v>
      </c>
      <c r="J155">
        <f t="shared" si="8"/>
        <v>142.85999999999999</v>
      </c>
    </row>
    <row r="156" spans="1:10" x14ac:dyDescent="0.25">
      <c r="A156" t="s">
        <v>14</v>
      </c>
      <c r="B156">
        <v>35</v>
      </c>
      <c r="C156">
        <v>1865.26</v>
      </c>
      <c r="D156">
        <v>203.22</v>
      </c>
      <c r="E156">
        <v>46.47</v>
      </c>
      <c r="F156">
        <v>20.9053</v>
      </c>
      <c r="G156">
        <v>1.8599999999999998E-2</v>
      </c>
      <c r="H156">
        <f t="shared" si="6"/>
        <v>0.10894995871889174</v>
      </c>
      <c r="I156">
        <f t="shared" si="7"/>
        <v>2.4913416896304E-2</v>
      </c>
      <c r="J156">
        <f t="shared" si="8"/>
        <v>156.75</v>
      </c>
    </row>
    <row r="157" spans="1:10" x14ac:dyDescent="0.25">
      <c r="A157" t="s">
        <v>14</v>
      </c>
      <c r="B157">
        <v>40</v>
      </c>
      <c r="C157">
        <v>1865.26</v>
      </c>
      <c r="D157">
        <v>216.95</v>
      </c>
      <c r="E157">
        <v>49.6</v>
      </c>
      <c r="F157">
        <v>20.884899999999998</v>
      </c>
      <c r="G157">
        <v>1.5800000000000002E-2</v>
      </c>
      <c r="H157">
        <f t="shared" si="6"/>
        <v>0.11631086282877454</v>
      </c>
      <c r="I157">
        <f t="shared" si="7"/>
        <v>2.6591467141310058E-2</v>
      </c>
      <c r="J157">
        <f t="shared" si="8"/>
        <v>167.35</v>
      </c>
    </row>
    <row r="158" spans="1:10" x14ac:dyDescent="0.25">
      <c r="A158" t="s">
        <v>14</v>
      </c>
      <c r="B158">
        <v>45</v>
      </c>
      <c r="C158">
        <v>1865.26</v>
      </c>
      <c r="D158">
        <v>232.04</v>
      </c>
      <c r="E158">
        <v>53.33</v>
      </c>
      <c r="F158">
        <v>21.567499999999999</v>
      </c>
      <c r="G158">
        <v>1.3899999999999999E-2</v>
      </c>
      <c r="H158">
        <f t="shared" si="6"/>
        <v>0.12440088781188681</v>
      </c>
      <c r="I158">
        <f t="shared" si="7"/>
        <v>2.8591188359799704E-2</v>
      </c>
      <c r="J158">
        <f t="shared" si="8"/>
        <v>178.70999999999998</v>
      </c>
    </row>
    <row r="159" spans="1:10" x14ac:dyDescent="0.25">
      <c r="A159" t="s">
        <v>14</v>
      </c>
      <c r="B159">
        <v>50</v>
      </c>
      <c r="C159">
        <v>1865.26</v>
      </c>
      <c r="D159">
        <v>245.08</v>
      </c>
      <c r="E159">
        <v>56.58</v>
      </c>
      <c r="F159">
        <v>20.912700000000001</v>
      </c>
      <c r="G159">
        <v>1.4E-2</v>
      </c>
      <c r="H159">
        <f t="shared" si="6"/>
        <v>0.13139187030226349</v>
      </c>
      <c r="I159">
        <f t="shared" si="7"/>
        <v>3.0333572799502481E-2</v>
      </c>
      <c r="J159">
        <f t="shared" si="8"/>
        <v>188.5</v>
      </c>
    </row>
    <row r="160" spans="1:10" x14ac:dyDescent="0.25">
      <c r="A160" t="s">
        <v>14</v>
      </c>
      <c r="B160">
        <v>55</v>
      </c>
      <c r="C160">
        <v>1865.26</v>
      </c>
      <c r="D160">
        <v>258.58999999999997</v>
      </c>
      <c r="E160">
        <v>59.9</v>
      </c>
      <c r="F160">
        <v>20.821100000000001</v>
      </c>
      <c r="G160">
        <v>2.53E-2</v>
      </c>
      <c r="H160">
        <f t="shared" si="6"/>
        <v>0.13863482838853564</v>
      </c>
      <c r="I160">
        <f t="shared" si="7"/>
        <v>3.2113485519445012E-2</v>
      </c>
      <c r="J160">
        <f t="shared" si="8"/>
        <v>198.68999999999997</v>
      </c>
    </row>
    <row r="161" spans="1:10" x14ac:dyDescent="0.25">
      <c r="A161" t="s">
        <v>14</v>
      </c>
      <c r="B161">
        <v>60</v>
      </c>
      <c r="C161">
        <v>1865.26</v>
      </c>
      <c r="D161">
        <v>275.48</v>
      </c>
      <c r="E161">
        <v>64.33</v>
      </c>
      <c r="F161">
        <v>21.0656</v>
      </c>
      <c r="G161">
        <v>1.4E-2</v>
      </c>
      <c r="H161">
        <f t="shared" si="6"/>
        <v>0.14768986629209871</v>
      </c>
      <c r="I161">
        <f t="shared" si="7"/>
        <v>3.4488489540332179E-2</v>
      </c>
      <c r="J161">
        <f t="shared" si="8"/>
        <v>211.15000000000003</v>
      </c>
    </row>
    <row r="162" spans="1:10" x14ac:dyDescent="0.25">
      <c r="A162" t="s">
        <v>14</v>
      </c>
      <c r="B162">
        <v>65</v>
      </c>
      <c r="C162">
        <v>1865.26</v>
      </c>
      <c r="D162">
        <v>296.82</v>
      </c>
      <c r="E162">
        <v>70.11</v>
      </c>
      <c r="F162">
        <v>21.103200000000001</v>
      </c>
      <c r="G162">
        <v>2.53E-2</v>
      </c>
      <c r="H162">
        <f t="shared" si="6"/>
        <v>0.15913063058233168</v>
      </c>
      <c r="I162">
        <f t="shared" si="7"/>
        <v>3.7587253251557422E-2</v>
      </c>
      <c r="J162">
        <f t="shared" si="8"/>
        <v>226.70999999999998</v>
      </c>
    </row>
    <row r="163" spans="1:10" x14ac:dyDescent="0.25">
      <c r="A163" t="s">
        <v>14</v>
      </c>
      <c r="B163">
        <v>70</v>
      </c>
      <c r="C163">
        <v>1865.26</v>
      </c>
      <c r="D163">
        <v>320.97000000000003</v>
      </c>
      <c r="E163">
        <v>77.17</v>
      </c>
      <c r="F163">
        <v>21.011099999999999</v>
      </c>
      <c r="G163">
        <v>1.4E-2</v>
      </c>
      <c r="H163">
        <f t="shared" si="6"/>
        <v>0.17207788726504616</v>
      </c>
      <c r="I163">
        <f t="shared" si="7"/>
        <v>4.137224837288099E-2</v>
      </c>
      <c r="J163">
        <f t="shared" si="8"/>
        <v>243.8</v>
      </c>
    </row>
    <row r="164" spans="1:10" x14ac:dyDescent="0.25">
      <c r="A164" t="s">
        <v>14</v>
      </c>
      <c r="B164">
        <v>75</v>
      </c>
      <c r="C164">
        <v>1865.26</v>
      </c>
      <c r="D164">
        <v>349.3</v>
      </c>
      <c r="E164">
        <v>85.67</v>
      </c>
      <c r="F164">
        <v>21.158200000000001</v>
      </c>
      <c r="G164">
        <v>1.6E-2</v>
      </c>
      <c r="H164">
        <f t="shared" si="6"/>
        <v>0.18726611839636298</v>
      </c>
      <c r="I164">
        <f t="shared" si="7"/>
        <v>4.5929253830565175E-2</v>
      </c>
      <c r="J164">
        <f t="shared" si="8"/>
        <v>263.63</v>
      </c>
    </row>
    <row r="165" spans="1:10" x14ac:dyDescent="0.25">
      <c r="A165" t="s">
        <v>14</v>
      </c>
      <c r="B165">
        <v>80</v>
      </c>
      <c r="C165">
        <v>1865.26</v>
      </c>
      <c r="D165">
        <v>392.46</v>
      </c>
      <c r="E165">
        <v>99.37</v>
      </c>
      <c r="F165">
        <v>21.216100000000001</v>
      </c>
      <c r="G165">
        <v>1.35E-2</v>
      </c>
      <c r="H165">
        <f t="shared" si="6"/>
        <v>0.21040498375561584</v>
      </c>
      <c r="I165">
        <f t="shared" si="7"/>
        <v>5.3274074391773805E-2</v>
      </c>
      <c r="J165">
        <f t="shared" si="8"/>
        <v>293.08999999999997</v>
      </c>
    </row>
    <row r="166" spans="1:10" x14ac:dyDescent="0.25">
      <c r="A166" t="s">
        <v>14</v>
      </c>
      <c r="B166">
        <v>85</v>
      </c>
      <c r="C166">
        <v>1865.26</v>
      </c>
      <c r="D166">
        <v>452.91</v>
      </c>
      <c r="E166">
        <v>118.7</v>
      </c>
      <c r="F166">
        <v>21.485399999999998</v>
      </c>
      <c r="G166">
        <v>1.46E-2</v>
      </c>
      <c r="H166">
        <f t="shared" si="6"/>
        <v>0.2428133343340875</v>
      </c>
      <c r="I166">
        <f t="shared" si="7"/>
        <v>6.363724092083678E-2</v>
      </c>
      <c r="J166">
        <f t="shared" si="8"/>
        <v>334.21000000000004</v>
      </c>
    </row>
    <row r="167" spans="1:10" x14ac:dyDescent="0.25">
      <c r="A167" t="s">
        <v>14</v>
      </c>
      <c r="B167">
        <v>90</v>
      </c>
      <c r="C167">
        <v>1865.26</v>
      </c>
      <c r="D167">
        <v>567.95000000000005</v>
      </c>
      <c r="E167">
        <v>154.93</v>
      </c>
      <c r="F167">
        <v>21.705400000000001</v>
      </c>
      <c r="G167">
        <v>1.5100000000000001E-2</v>
      </c>
      <c r="H167">
        <f t="shared" si="6"/>
        <v>0.30448838231667436</v>
      </c>
      <c r="I167">
        <f t="shared" si="7"/>
        <v>8.3060806536354184E-2</v>
      </c>
      <c r="J167">
        <f t="shared" si="8"/>
        <v>413.02000000000004</v>
      </c>
    </row>
    <row r="168" spans="1:10" x14ac:dyDescent="0.25">
      <c r="A168" t="s">
        <v>14</v>
      </c>
      <c r="B168">
        <v>95</v>
      </c>
      <c r="C168">
        <v>1865.26</v>
      </c>
      <c r="D168">
        <v>813.33</v>
      </c>
      <c r="E168">
        <v>240.76</v>
      </c>
      <c r="F168">
        <v>22.144600000000001</v>
      </c>
      <c r="G168">
        <v>1.6E-2</v>
      </c>
      <c r="H168">
        <f t="shared" si="6"/>
        <v>0.43604108810567965</v>
      </c>
      <c r="I168">
        <f t="shared" si="7"/>
        <v>0.12907583929318164</v>
      </c>
      <c r="J168">
        <f t="shared" si="8"/>
        <v>572.57000000000005</v>
      </c>
    </row>
    <row r="169" spans="1:10" x14ac:dyDescent="0.25">
      <c r="A169" t="s">
        <v>14</v>
      </c>
      <c r="B169">
        <v>100</v>
      </c>
      <c r="C169">
        <v>1865.26</v>
      </c>
      <c r="D169">
        <v>1488.99</v>
      </c>
      <c r="E169">
        <v>589.16999999999996</v>
      </c>
      <c r="F169">
        <v>25.186599999999999</v>
      </c>
      <c r="G169">
        <v>1.7999999999999999E-2</v>
      </c>
      <c r="H169">
        <f t="shared" si="6"/>
        <v>0.79827477134554969</v>
      </c>
      <c r="I169">
        <f t="shared" si="7"/>
        <v>0.31586481241221059</v>
      </c>
      <c r="J169">
        <f t="shared" si="8"/>
        <v>899.82</v>
      </c>
    </row>
    <row r="170" spans="1:10" x14ac:dyDescent="0.25">
      <c r="A170" t="s">
        <v>15</v>
      </c>
      <c r="B170">
        <v>0</v>
      </c>
      <c r="C170">
        <v>2138.34</v>
      </c>
      <c r="D170">
        <v>66.739999999999995</v>
      </c>
      <c r="E170">
        <v>24.38</v>
      </c>
      <c r="F170">
        <v>20.3201</v>
      </c>
      <c r="G170">
        <v>1.8499999999999999E-2</v>
      </c>
      <c r="H170">
        <f t="shared" si="6"/>
        <v>3.1211126387758723E-2</v>
      </c>
      <c r="I170">
        <f t="shared" si="7"/>
        <v>1.1401367415845935E-2</v>
      </c>
      <c r="J170">
        <f t="shared" si="8"/>
        <v>42.36</v>
      </c>
    </row>
    <row r="171" spans="1:10" x14ac:dyDescent="0.25">
      <c r="A171" t="s">
        <v>15</v>
      </c>
      <c r="B171">
        <v>5</v>
      </c>
      <c r="C171">
        <v>2138.34</v>
      </c>
      <c r="D171">
        <v>80.58</v>
      </c>
      <c r="E171">
        <v>24.56</v>
      </c>
      <c r="F171">
        <v>20.158999999999999</v>
      </c>
      <c r="G171">
        <v>2.3800000000000002E-2</v>
      </c>
      <c r="H171">
        <f t="shared" si="6"/>
        <v>3.7683436684530988E-2</v>
      </c>
      <c r="I171">
        <f t="shared" si="7"/>
        <v>1.1485544861902222E-2</v>
      </c>
      <c r="J171">
        <f t="shared" si="8"/>
        <v>56.019999999999996</v>
      </c>
    </row>
    <row r="172" spans="1:10" x14ac:dyDescent="0.25">
      <c r="A172" t="s">
        <v>15</v>
      </c>
      <c r="B172">
        <v>10</v>
      </c>
      <c r="C172">
        <v>2138.34</v>
      </c>
      <c r="D172">
        <v>107.93</v>
      </c>
      <c r="E172">
        <v>26.65</v>
      </c>
      <c r="F172">
        <v>20.243400000000001</v>
      </c>
      <c r="G172">
        <v>1.4E-2</v>
      </c>
      <c r="H172">
        <f t="shared" si="6"/>
        <v>5.0473731960305655E-2</v>
      </c>
      <c r="I172">
        <f t="shared" si="7"/>
        <v>1.2462938541111327E-2</v>
      </c>
      <c r="J172">
        <f t="shared" si="8"/>
        <v>81.28</v>
      </c>
    </row>
    <row r="173" spans="1:10" x14ac:dyDescent="0.25">
      <c r="A173" t="s">
        <v>15</v>
      </c>
      <c r="B173">
        <v>15</v>
      </c>
      <c r="C173">
        <v>2138.34</v>
      </c>
      <c r="D173">
        <v>132.03</v>
      </c>
      <c r="E173">
        <v>29.35</v>
      </c>
      <c r="F173">
        <v>20.409400000000002</v>
      </c>
      <c r="G173">
        <v>2.2700000000000001E-2</v>
      </c>
      <c r="H173">
        <f t="shared" si="6"/>
        <v>6.1744156682286257E-2</v>
      </c>
      <c r="I173">
        <f t="shared" si="7"/>
        <v>1.3725600231955629E-2</v>
      </c>
      <c r="J173">
        <f t="shared" si="8"/>
        <v>102.68</v>
      </c>
    </row>
    <row r="174" spans="1:10" x14ac:dyDescent="0.25">
      <c r="A174" t="s">
        <v>15</v>
      </c>
      <c r="B174">
        <v>20</v>
      </c>
      <c r="C174">
        <v>2138.34</v>
      </c>
      <c r="D174">
        <v>154.22</v>
      </c>
      <c r="E174">
        <v>32.380000000000003</v>
      </c>
      <c r="F174">
        <v>20.394200000000001</v>
      </c>
      <c r="G174">
        <v>1.9300000000000001E-2</v>
      </c>
      <c r="H174">
        <f t="shared" si="6"/>
        <v>7.2121365171114032E-2</v>
      </c>
      <c r="I174">
        <f t="shared" si="7"/>
        <v>1.5142587240569789E-2</v>
      </c>
      <c r="J174">
        <f t="shared" si="8"/>
        <v>121.84</v>
      </c>
    </row>
    <row r="175" spans="1:10" x14ac:dyDescent="0.25">
      <c r="A175" t="s">
        <v>15</v>
      </c>
      <c r="B175">
        <v>25</v>
      </c>
      <c r="C175">
        <v>2138.34</v>
      </c>
      <c r="D175">
        <v>175.06</v>
      </c>
      <c r="E175">
        <v>35.200000000000003</v>
      </c>
      <c r="F175">
        <v>20.6251</v>
      </c>
      <c r="G175">
        <v>1.38E-2</v>
      </c>
      <c r="H175">
        <f t="shared" si="6"/>
        <v>8.1867242814519667E-2</v>
      </c>
      <c r="I175">
        <f t="shared" si="7"/>
        <v>1.6461367228784947E-2</v>
      </c>
      <c r="J175">
        <f t="shared" si="8"/>
        <v>139.86000000000001</v>
      </c>
    </row>
    <row r="176" spans="1:10" x14ac:dyDescent="0.25">
      <c r="A176" t="s">
        <v>15</v>
      </c>
      <c r="B176">
        <v>30</v>
      </c>
      <c r="C176">
        <v>2138.34</v>
      </c>
      <c r="D176">
        <v>194.61</v>
      </c>
      <c r="E176">
        <v>38.1</v>
      </c>
      <c r="F176">
        <v>20.572900000000001</v>
      </c>
      <c r="G176">
        <v>1.4E-2</v>
      </c>
      <c r="H176">
        <f t="shared" si="6"/>
        <v>9.1009848761188589E-2</v>
      </c>
      <c r="I176">
        <f t="shared" si="7"/>
        <v>1.781755941524734E-2</v>
      </c>
      <c r="J176">
        <f t="shared" si="8"/>
        <v>156.51000000000002</v>
      </c>
    </row>
    <row r="177" spans="1:10" x14ac:dyDescent="0.25">
      <c r="A177" t="s">
        <v>15</v>
      </c>
      <c r="B177">
        <v>35</v>
      </c>
      <c r="C177">
        <v>2138.34</v>
      </c>
      <c r="D177">
        <v>213.27</v>
      </c>
      <c r="E177">
        <v>41.6</v>
      </c>
      <c r="F177">
        <v>20.913599999999999</v>
      </c>
      <c r="G177">
        <v>1.4E-2</v>
      </c>
      <c r="H177">
        <f t="shared" si="6"/>
        <v>9.9736244002356964E-2</v>
      </c>
      <c r="I177">
        <f t="shared" si="7"/>
        <v>1.9454343088564027E-2</v>
      </c>
      <c r="J177">
        <f t="shared" si="8"/>
        <v>171.67000000000002</v>
      </c>
    </row>
    <row r="178" spans="1:10" x14ac:dyDescent="0.25">
      <c r="A178" t="s">
        <v>15</v>
      </c>
      <c r="B178">
        <v>40</v>
      </c>
      <c r="C178">
        <v>2138.34</v>
      </c>
      <c r="D178">
        <v>228.73</v>
      </c>
      <c r="E178">
        <v>43.62</v>
      </c>
      <c r="F178">
        <v>21.147400000000001</v>
      </c>
      <c r="G178">
        <v>1.4E-2</v>
      </c>
      <c r="H178">
        <f t="shared" si="6"/>
        <v>0.10696615131363579</v>
      </c>
      <c r="I178">
        <f t="shared" si="7"/>
        <v>2.0399001094306795E-2</v>
      </c>
      <c r="J178">
        <f t="shared" si="8"/>
        <v>185.10999999999999</v>
      </c>
    </row>
    <row r="179" spans="1:10" x14ac:dyDescent="0.25">
      <c r="A179" t="s">
        <v>15</v>
      </c>
      <c r="B179">
        <v>45</v>
      </c>
      <c r="C179">
        <v>2138.34</v>
      </c>
      <c r="D179">
        <v>245.86</v>
      </c>
      <c r="E179">
        <v>46.66</v>
      </c>
      <c r="F179">
        <v>20.955100000000002</v>
      </c>
      <c r="G179">
        <v>2.87E-2</v>
      </c>
      <c r="H179">
        <f t="shared" si="6"/>
        <v>0.11497703826332575</v>
      </c>
      <c r="I179">
        <f t="shared" si="7"/>
        <v>2.1820664627701859E-2</v>
      </c>
      <c r="J179">
        <f t="shared" si="8"/>
        <v>199.20000000000002</v>
      </c>
    </row>
    <row r="180" spans="1:10" x14ac:dyDescent="0.25">
      <c r="A180" t="s">
        <v>15</v>
      </c>
      <c r="B180">
        <v>50</v>
      </c>
      <c r="C180">
        <v>2138.34</v>
      </c>
      <c r="D180">
        <v>261.48</v>
      </c>
      <c r="E180">
        <v>49.1</v>
      </c>
      <c r="F180">
        <v>20.979900000000001</v>
      </c>
      <c r="G180">
        <v>1.2999999999999999E-2</v>
      </c>
      <c r="H180">
        <f t="shared" si="6"/>
        <v>0.12228176997109907</v>
      </c>
      <c r="I180">
        <f t="shared" si="7"/>
        <v>2.2961736674242637E-2</v>
      </c>
      <c r="J180">
        <f t="shared" si="8"/>
        <v>212.38000000000002</v>
      </c>
    </row>
    <row r="181" spans="1:10" x14ac:dyDescent="0.25">
      <c r="A181" t="s">
        <v>15</v>
      </c>
      <c r="B181">
        <v>55</v>
      </c>
      <c r="C181">
        <v>2138.34</v>
      </c>
      <c r="D181">
        <v>277.58</v>
      </c>
      <c r="E181">
        <v>51.87</v>
      </c>
      <c r="F181">
        <v>20.925000000000001</v>
      </c>
      <c r="G181">
        <v>2.4899999999999999E-2</v>
      </c>
      <c r="H181">
        <f t="shared" si="6"/>
        <v>0.1298109748683558</v>
      </c>
      <c r="I181">
        <f t="shared" si="7"/>
        <v>2.4257134038553268E-2</v>
      </c>
      <c r="J181">
        <f t="shared" si="8"/>
        <v>225.70999999999998</v>
      </c>
    </row>
    <row r="182" spans="1:10" x14ac:dyDescent="0.25">
      <c r="A182" t="s">
        <v>15</v>
      </c>
      <c r="B182">
        <v>60</v>
      </c>
      <c r="C182">
        <v>2138.34</v>
      </c>
      <c r="D182">
        <v>297.45</v>
      </c>
      <c r="E182">
        <v>55.45</v>
      </c>
      <c r="F182">
        <v>20.871500000000001</v>
      </c>
      <c r="G182">
        <v>2.5600000000000001E-2</v>
      </c>
      <c r="H182">
        <f t="shared" si="6"/>
        <v>0.13910322960801369</v>
      </c>
      <c r="I182">
        <f t="shared" si="7"/>
        <v>2.5931329910117193E-2</v>
      </c>
      <c r="J182">
        <f t="shared" si="8"/>
        <v>242</v>
      </c>
    </row>
    <row r="183" spans="1:10" x14ac:dyDescent="0.25">
      <c r="A183" t="s">
        <v>15</v>
      </c>
      <c r="B183">
        <v>65</v>
      </c>
      <c r="C183">
        <v>2138.34</v>
      </c>
      <c r="D183">
        <v>322.54000000000002</v>
      </c>
      <c r="E183">
        <v>59.65</v>
      </c>
      <c r="F183">
        <v>21.064</v>
      </c>
      <c r="G183">
        <v>2.9600000000000001E-2</v>
      </c>
      <c r="H183">
        <f t="shared" si="6"/>
        <v>0.15083663028330388</v>
      </c>
      <c r="I183">
        <f t="shared" si="7"/>
        <v>2.7895470318097214E-2</v>
      </c>
      <c r="J183">
        <f t="shared" si="8"/>
        <v>262.89000000000004</v>
      </c>
    </row>
    <row r="184" spans="1:10" x14ac:dyDescent="0.25">
      <c r="A184" t="s">
        <v>15</v>
      </c>
      <c r="B184">
        <v>70</v>
      </c>
      <c r="C184">
        <v>2138.34</v>
      </c>
      <c r="D184">
        <v>351.86</v>
      </c>
      <c r="E184">
        <v>65.33</v>
      </c>
      <c r="F184">
        <v>21.059200000000001</v>
      </c>
      <c r="G184">
        <v>1.2999999999999999E-2</v>
      </c>
      <c r="H184">
        <f t="shared" si="6"/>
        <v>0.16454820094091679</v>
      </c>
      <c r="I184">
        <f t="shared" si="7"/>
        <v>3.0551736393651146E-2</v>
      </c>
      <c r="J184">
        <f t="shared" si="8"/>
        <v>286.53000000000003</v>
      </c>
    </row>
    <row r="185" spans="1:10" x14ac:dyDescent="0.25">
      <c r="A185" t="s">
        <v>15</v>
      </c>
      <c r="B185">
        <v>75</v>
      </c>
      <c r="C185">
        <v>2138.34</v>
      </c>
      <c r="D185">
        <v>385.94</v>
      </c>
      <c r="E185">
        <v>72.27</v>
      </c>
      <c r="F185">
        <v>21.320399999999999</v>
      </c>
      <c r="G185">
        <v>1.4999999999999999E-2</v>
      </c>
      <c r="H185">
        <f t="shared" si="6"/>
        <v>0.18048579739424037</v>
      </c>
      <c r="I185">
        <f t="shared" si="7"/>
        <v>3.3797244591599086E-2</v>
      </c>
      <c r="J185">
        <f t="shared" si="8"/>
        <v>313.67</v>
      </c>
    </row>
    <row r="186" spans="1:10" x14ac:dyDescent="0.25">
      <c r="A186" t="s">
        <v>15</v>
      </c>
      <c r="B186">
        <v>80</v>
      </c>
      <c r="C186">
        <v>2138.34</v>
      </c>
      <c r="D186">
        <v>439.31</v>
      </c>
      <c r="E186">
        <v>83.91</v>
      </c>
      <c r="F186">
        <v>21.4145</v>
      </c>
      <c r="G186">
        <v>1.55E-2</v>
      </c>
      <c r="H186">
        <f t="shared" si="6"/>
        <v>0.20544441014992937</v>
      </c>
      <c r="I186">
        <f t="shared" si="7"/>
        <v>3.9240719436572293E-2</v>
      </c>
      <c r="J186">
        <f t="shared" si="8"/>
        <v>355.4</v>
      </c>
    </row>
    <row r="187" spans="1:10" x14ac:dyDescent="0.25">
      <c r="A187" t="s">
        <v>15</v>
      </c>
      <c r="B187">
        <v>85</v>
      </c>
      <c r="C187">
        <v>2138.34</v>
      </c>
      <c r="D187">
        <v>512.41</v>
      </c>
      <c r="E187">
        <v>100.41</v>
      </c>
      <c r="F187">
        <v>21.580200000000001</v>
      </c>
      <c r="G187">
        <v>1.4E-2</v>
      </c>
      <c r="H187">
        <f t="shared" si="6"/>
        <v>0.23962980629834355</v>
      </c>
      <c r="I187">
        <f t="shared" si="7"/>
        <v>4.6956985325065231E-2</v>
      </c>
      <c r="J187">
        <f t="shared" si="8"/>
        <v>412</v>
      </c>
    </row>
    <row r="188" spans="1:10" x14ac:dyDescent="0.25">
      <c r="A188" t="s">
        <v>15</v>
      </c>
      <c r="B188">
        <v>90</v>
      </c>
      <c r="C188">
        <v>2138.34</v>
      </c>
      <c r="D188">
        <v>643.39</v>
      </c>
      <c r="E188">
        <v>132.16999999999999</v>
      </c>
      <c r="F188">
        <v>22.030100000000001</v>
      </c>
      <c r="G188">
        <v>1.41E-2</v>
      </c>
      <c r="H188">
        <f t="shared" si="6"/>
        <v>0.3008829278786348</v>
      </c>
      <c r="I188">
        <f t="shared" si="7"/>
        <v>6.1809628029218917E-2</v>
      </c>
      <c r="J188">
        <f t="shared" si="8"/>
        <v>511.22</v>
      </c>
    </row>
    <row r="189" spans="1:10" x14ac:dyDescent="0.25">
      <c r="A189" t="s">
        <v>15</v>
      </c>
      <c r="B189">
        <v>95</v>
      </c>
      <c r="C189">
        <v>2138.34</v>
      </c>
      <c r="D189">
        <v>924.58</v>
      </c>
      <c r="E189">
        <v>208.67</v>
      </c>
      <c r="F189">
        <v>22.694299999999998</v>
      </c>
      <c r="G189">
        <v>1.5100000000000001E-2</v>
      </c>
      <c r="H189">
        <f t="shared" si="6"/>
        <v>0.43238212819289729</v>
      </c>
      <c r="I189">
        <f t="shared" si="7"/>
        <v>9.7585042603140743E-2</v>
      </c>
      <c r="J189">
        <f t="shared" si="8"/>
        <v>715.91000000000008</v>
      </c>
    </row>
    <row r="190" spans="1:10" x14ac:dyDescent="0.25">
      <c r="A190" t="s">
        <v>15</v>
      </c>
      <c r="B190">
        <v>100</v>
      </c>
      <c r="C190">
        <v>2138.34</v>
      </c>
      <c r="D190">
        <v>1636.49</v>
      </c>
      <c r="E190">
        <v>511.83</v>
      </c>
      <c r="F190">
        <v>25.3765</v>
      </c>
      <c r="G190">
        <v>1.7600000000000001E-2</v>
      </c>
      <c r="H190">
        <f t="shared" si="6"/>
        <v>0.76530860387029187</v>
      </c>
      <c r="I190">
        <f t="shared" si="7"/>
        <v>0.23935856786105109</v>
      </c>
      <c r="J190">
        <f t="shared" si="8"/>
        <v>1124.6600000000001</v>
      </c>
    </row>
    <row r="191" spans="1:10" x14ac:dyDescent="0.25">
      <c r="A191" t="s">
        <v>7</v>
      </c>
      <c r="B191">
        <v>0</v>
      </c>
      <c r="C191">
        <v>4175.13</v>
      </c>
      <c r="D191">
        <v>143.44999999999999</v>
      </c>
      <c r="E191">
        <v>62.13</v>
      </c>
      <c r="F191">
        <v>41.241500000000002</v>
      </c>
      <c r="G191">
        <v>4.07E-2</v>
      </c>
      <c r="H191">
        <f t="shared" si="6"/>
        <v>3.4358211600596864E-2</v>
      </c>
      <c r="I191">
        <f t="shared" si="7"/>
        <v>1.4880973766086325E-2</v>
      </c>
      <c r="J191">
        <f t="shared" si="8"/>
        <v>81.319999999999993</v>
      </c>
    </row>
    <row r="192" spans="1:10" x14ac:dyDescent="0.25">
      <c r="A192" t="s">
        <v>7</v>
      </c>
      <c r="B192">
        <v>5</v>
      </c>
      <c r="C192">
        <v>4175.13</v>
      </c>
      <c r="D192">
        <v>149.47999999999999</v>
      </c>
      <c r="E192">
        <v>62.37</v>
      </c>
      <c r="F192">
        <v>40.988700000000001</v>
      </c>
      <c r="G192">
        <v>4.7399999999999998E-2</v>
      </c>
      <c r="H192">
        <f t="shared" si="6"/>
        <v>3.5802478006672842E-2</v>
      </c>
      <c r="I192">
        <f t="shared" si="7"/>
        <v>1.493845700612915E-2</v>
      </c>
      <c r="J192">
        <f t="shared" si="8"/>
        <v>87.109999999999985</v>
      </c>
    </row>
    <row r="193" spans="1:10" x14ac:dyDescent="0.25">
      <c r="A193" t="s">
        <v>7</v>
      </c>
      <c r="B193">
        <v>10</v>
      </c>
      <c r="C193">
        <v>4175.13</v>
      </c>
      <c r="D193">
        <v>166.2</v>
      </c>
      <c r="E193">
        <v>64.099999999999994</v>
      </c>
      <c r="F193">
        <v>41.557299999999998</v>
      </c>
      <c r="G193">
        <v>4.2099999999999999E-2</v>
      </c>
      <c r="H193">
        <f t="shared" si="6"/>
        <v>3.9807143729656318E-2</v>
      </c>
      <c r="I193">
        <f t="shared" si="7"/>
        <v>1.5352815361437845E-2</v>
      </c>
      <c r="J193">
        <f t="shared" si="8"/>
        <v>102.1</v>
      </c>
    </row>
    <row r="194" spans="1:10" x14ac:dyDescent="0.25">
      <c r="A194" t="s">
        <v>7</v>
      </c>
      <c r="B194">
        <v>15</v>
      </c>
      <c r="C194">
        <v>4175.13</v>
      </c>
      <c r="D194">
        <v>183.66</v>
      </c>
      <c r="E194">
        <v>65.87</v>
      </c>
      <c r="F194">
        <v>41.509500000000003</v>
      </c>
      <c r="G194">
        <v>3.3000000000000002E-2</v>
      </c>
      <c r="H194">
        <f t="shared" si="6"/>
        <v>4.3989049442771842E-2</v>
      </c>
      <c r="I194">
        <f t="shared" si="7"/>
        <v>1.5776754256753681E-2</v>
      </c>
      <c r="J194">
        <f t="shared" si="8"/>
        <v>117.78999999999999</v>
      </c>
    </row>
    <row r="195" spans="1:10" x14ac:dyDescent="0.25">
      <c r="A195" t="s">
        <v>7</v>
      </c>
      <c r="B195">
        <v>20</v>
      </c>
      <c r="C195">
        <v>4175.13</v>
      </c>
      <c r="D195">
        <v>200.99</v>
      </c>
      <c r="E195">
        <v>67.900000000000006</v>
      </c>
      <c r="F195">
        <v>41.653599999999997</v>
      </c>
      <c r="G195">
        <v>4.41E-2</v>
      </c>
      <c r="H195">
        <f t="shared" ref="H195:H233" si="9">D195/C195</f>
        <v>4.8139818400864162E-2</v>
      </c>
      <c r="I195">
        <f t="shared" ref="I195:I233" si="10">E195/C195</f>
        <v>1.6262966662115911E-2</v>
      </c>
      <c r="J195">
        <f t="shared" ref="J195:J233" si="11">D195-E195</f>
        <v>133.09</v>
      </c>
    </row>
    <row r="196" spans="1:10" x14ac:dyDescent="0.25">
      <c r="A196" t="s">
        <v>7</v>
      </c>
      <c r="B196">
        <v>25</v>
      </c>
      <c r="C196">
        <v>4175.13</v>
      </c>
      <c r="D196">
        <v>218.52</v>
      </c>
      <c r="E196">
        <v>69.790000000000006</v>
      </c>
      <c r="F196">
        <v>41.517699999999998</v>
      </c>
      <c r="G196">
        <v>4.3299999999999998E-2</v>
      </c>
      <c r="H196">
        <f t="shared" si="9"/>
        <v>5.2338490058992174E-2</v>
      </c>
      <c r="I196">
        <f t="shared" si="10"/>
        <v>1.6715647177453156E-2</v>
      </c>
      <c r="J196">
        <f t="shared" si="11"/>
        <v>148.73000000000002</v>
      </c>
    </row>
    <row r="197" spans="1:10" x14ac:dyDescent="0.25">
      <c r="A197" t="s">
        <v>7</v>
      </c>
      <c r="B197">
        <v>30</v>
      </c>
      <c r="C197">
        <v>4175.13</v>
      </c>
      <c r="D197">
        <v>235.49</v>
      </c>
      <c r="E197">
        <v>72.290000000000006</v>
      </c>
      <c r="F197">
        <v>41.7883</v>
      </c>
      <c r="G197">
        <v>4.6100000000000002E-2</v>
      </c>
      <c r="H197">
        <f t="shared" si="9"/>
        <v>5.6403034157020263E-2</v>
      </c>
      <c r="I197">
        <f t="shared" si="10"/>
        <v>1.7314430927899253E-2</v>
      </c>
      <c r="J197">
        <f t="shared" si="11"/>
        <v>163.19999999999999</v>
      </c>
    </row>
    <row r="198" spans="1:10" x14ac:dyDescent="0.25">
      <c r="A198" t="s">
        <v>7</v>
      </c>
      <c r="B198">
        <v>35</v>
      </c>
      <c r="C198">
        <v>4175.13</v>
      </c>
      <c r="D198">
        <v>252.04</v>
      </c>
      <c r="E198">
        <v>74.59</v>
      </c>
      <c r="F198">
        <v>41.679099999999998</v>
      </c>
      <c r="G198">
        <v>4.2299999999999997E-2</v>
      </c>
      <c r="H198">
        <f t="shared" si="9"/>
        <v>6.0366982584973396E-2</v>
      </c>
      <c r="I198">
        <f t="shared" si="10"/>
        <v>1.7865311978309657E-2</v>
      </c>
      <c r="J198">
        <f t="shared" si="11"/>
        <v>177.45</v>
      </c>
    </row>
    <row r="199" spans="1:10" x14ac:dyDescent="0.25">
      <c r="A199" t="s">
        <v>7</v>
      </c>
      <c r="B199">
        <v>40</v>
      </c>
      <c r="C199">
        <v>4175.13</v>
      </c>
      <c r="D199">
        <v>266.61</v>
      </c>
      <c r="E199">
        <v>76.45</v>
      </c>
      <c r="F199">
        <v>41.653700000000001</v>
      </c>
      <c r="G199">
        <v>3.4000000000000002E-2</v>
      </c>
      <c r="H199">
        <f t="shared" si="9"/>
        <v>6.3856694282573234E-2</v>
      </c>
      <c r="I199">
        <f t="shared" si="10"/>
        <v>1.8310807088641551E-2</v>
      </c>
      <c r="J199">
        <f t="shared" si="11"/>
        <v>190.16000000000003</v>
      </c>
    </row>
    <row r="200" spans="1:10" x14ac:dyDescent="0.25">
      <c r="A200" t="s">
        <v>7</v>
      </c>
      <c r="B200">
        <v>45</v>
      </c>
      <c r="C200">
        <v>4175.13</v>
      </c>
      <c r="D200">
        <v>284.70999999999998</v>
      </c>
      <c r="E200">
        <v>78.599999999999994</v>
      </c>
      <c r="F200">
        <v>41.921100000000003</v>
      </c>
      <c r="G200">
        <v>3.5299999999999998E-2</v>
      </c>
      <c r="H200">
        <f t="shared" si="9"/>
        <v>6.8191888635802944E-2</v>
      </c>
      <c r="I200">
        <f t="shared" si="10"/>
        <v>1.8825761114025188E-2</v>
      </c>
      <c r="J200">
        <f t="shared" si="11"/>
        <v>206.10999999999999</v>
      </c>
    </row>
    <row r="201" spans="1:10" x14ac:dyDescent="0.25">
      <c r="A201" t="s">
        <v>7</v>
      </c>
      <c r="B201">
        <v>50</v>
      </c>
      <c r="C201">
        <v>4175.13</v>
      </c>
      <c r="D201">
        <v>299.61</v>
      </c>
      <c r="E201">
        <v>80.94</v>
      </c>
      <c r="F201">
        <v>42.048999999999999</v>
      </c>
      <c r="G201">
        <v>3.2099999999999997E-2</v>
      </c>
      <c r="H201">
        <f t="shared" si="9"/>
        <v>7.1760639788461672E-2</v>
      </c>
      <c r="I201">
        <f t="shared" si="10"/>
        <v>1.9386222704442735E-2</v>
      </c>
      <c r="J201">
        <f t="shared" si="11"/>
        <v>218.67000000000002</v>
      </c>
    </row>
    <row r="202" spans="1:10" x14ac:dyDescent="0.25">
      <c r="A202" t="s">
        <v>7</v>
      </c>
      <c r="B202">
        <v>55</v>
      </c>
      <c r="C202">
        <v>4175.13</v>
      </c>
      <c r="D202">
        <v>315.66000000000003</v>
      </c>
      <c r="E202">
        <v>83.26</v>
      </c>
      <c r="F202">
        <v>42.027900000000002</v>
      </c>
      <c r="G202">
        <v>4.7E-2</v>
      </c>
      <c r="H202">
        <f t="shared" si="9"/>
        <v>7.56048314663256E-2</v>
      </c>
      <c r="I202">
        <f t="shared" si="10"/>
        <v>1.9941894024856712E-2</v>
      </c>
      <c r="J202">
        <f t="shared" si="11"/>
        <v>232.40000000000003</v>
      </c>
    </row>
    <row r="203" spans="1:10" x14ac:dyDescent="0.25">
      <c r="A203" t="s">
        <v>7</v>
      </c>
      <c r="B203">
        <v>60</v>
      </c>
      <c r="C203">
        <v>4175.13</v>
      </c>
      <c r="D203">
        <v>336.02</v>
      </c>
      <c r="E203">
        <v>86.18</v>
      </c>
      <c r="F203">
        <v>41.968200000000003</v>
      </c>
      <c r="G203">
        <v>3.4000000000000002E-2</v>
      </c>
      <c r="H203">
        <f t="shared" si="9"/>
        <v>8.048132632995858E-2</v>
      </c>
      <c r="I203">
        <f t="shared" si="10"/>
        <v>2.064127344537775E-2</v>
      </c>
      <c r="J203">
        <f t="shared" si="11"/>
        <v>249.83999999999997</v>
      </c>
    </row>
    <row r="204" spans="1:10" x14ac:dyDescent="0.25">
      <c r="A204" t="s">
        <v>7</v>
      </c>
      <c r="B204">
        <v>65</v>
      </c>
      <c r="C204">
        <v>4175.13</v>
      </c>
      <c r="D204">
        <v>365.91</v>
      </c>
      <c r="E204">
        <v>89.96</v>
      </c>
      <c r="F204">
        <v>42.286799999999999</v>
      </c>
      <c r="G204">
        <v>3.1E-2</v>
      </c>
      <c r="H204">
        <f t="shared" si="9"/>
        <v>8.7640384850292088E-2</v>
      </c>
      <c r="I204">
        <f t="shared" si="10"/>
        <v>2.1546634476052241E-2</v>
      </c>
      <c r="J204">
        <f t="shared" si="11"/>
        <v>275.95000000000005</v>
      </c>
    </row>
    <row r="205" spans="1:10" x14ac:dyDescent="0.25">
      <c r="A205" t="s">
        <v>7</v>
      </c>
      <c r="B205">
        <v>70</v>
      </c>
      <c r="C205">
        <v>4175.13</v>
      </c>
      <c r="D205">
        <v>399.76</v>
      </c>
      <c r="E205">
        <v>95.16</v>
      </c>
      <c r="F205">
        <v>42.219900000000003</v>
      </c>
      <c r="G205">
        <v>3.4000000000000002E-2</v>
      </c>
      <c r="H205">
        <f t="shared" si="9"/>
        <v>9.57479168313322E-2</v>
      </c>
      <c r="I205">
        <f t="shared" si="10"/>
        <v>2.2792104676980115E-2</v>
      </c>
      <c r="J205">
        <f t="shared" si="11"/>
        <v>304.60000000000002</v>
      </c>
    </row>
    <row r="206" spans="1:10" x14ac:dyDescent="0.25">
      <c r="A206" t="s">
        <v>7</v>
      </c>
      <c r="B206">
        <v>75</v>
      </c>
      <c r="C206">
        <v>4175.13</v>
      </c>
      <c r="D206">
        <v>442.25</v>
      </c>
      <c r="E206">
        <v>102.51</v>
      </c>
      <c r="F206">
        <v>42.351999999999997</v>
      </c>
      <c r="G206">
        <v>3.3000000000000002E-2</v>
      </c>
      <c r="H206">
        <f t="shared" si="9"/>
        <v>0.10592484545391401</v>
      </c>
      <c r="I206">
        <f t="shared" si="10"/>
        <v>2.4552528903291633E-2</v>
      </c>
      <c r="J206">
        <f t="shared" si="11"/>
        <v>339.74</v>
      </c>
    </row>
    <row r="207" spans="1:10" x14ac:dyDescent="0.25">
      <c r="A207" t="s">
        <v>7</v>
      </c>
      <c r="B207">
        <v>80</v>
      </c>
      <c r="C207">
        <v>4175.13</v>
      </c>
      <c r="D207">
        <v>512.04999999999995</v>
      </c>
      <c r="E207">
        <v>115.44</v>
      </c>
      <c r="F207">
        <v>44.264099999999999</v>
      </c>
      <c r="G207">
        <v>3.15E-2</v>
      </c>
      <c r="H207">
        <f t="shared" si="9"/>
        <v>0.12264288776636893</v>
      </c>
      <c r="I207">
        <f t="shared" si="10"/>
        <v>2.7649438460598832E-2</v>
      </c>
      <c r="J207">
        <f t="shared" si="11"/>
        <v>396.60999999999996</v>
      </c>
    </row>
    <row r="208" spans="1:10" x14ac:dyDescent="0.25">
      <c r="A208" t="s">
        <v>7</v>
      </c>
      <c r="B208">
        <v>85</v>
      </c>
      <c r="C208">
        <v>4175.13</v>
      </c>
      <c r="D208">
        <v>611.70000000000005</v>
      </c>
      <c r="E208">
        <v>134.4</v>
      </c>
      <c r="F208">
        <v>44.177799999999998</v>
      </c>
      <c r="G208">
        <v>3.5099999999999999E-2</v>
      </c>
      <c r="H208">
        <f t="shared" si="9"/>
        <v>0.14651040805915025</v>
      </c>
      <c r="I208">
        <f t="shared" si="10"/>
        <v>3.2190614423982009E-2</v>
      </c>
      <c r="J208">
        <f t="shared" si="11"/>
        <v>477.30000000000007</v>
      </c>
    </row>
    <row r="209" spans="1:10" x14ac:dyDescent="0.25">
      <c r="A209" t="s">
        <v>7</v>
      </c>
      <c r="B209">
        <v>90</v>
      </c>
      <c r="C209">
        <v>4175.13</v>
      </c>
      <c r="D209">
        <v>804.85</v>
      </c>
      <c r="E209">
        <v>173.83</v>
      </c>
      <c r="F209">
        <v>43.796599999999998</v>
      </c>
      <c r="G209">
        <v>3.5999999999999997E-2</v>
      </c>
      <c r="H209">
        <f t="shared" si="9"/>
        <v>0.19277244061861548</v>
      </c>
      <c r="I209">
        <f t="shared" si="10"/>
        <v>4.1634631736017801E-2</v>
      </c>
      <c r="J209">
        <f t="shared" si="11"/>
        <v>631.02</v>
      </c>
    </row>
    <row r="210" spans="1:10" x14ac:dyDescent="0.25">
      <c r="A210" t="s">
        <v>7</v>
      </c>
      <c r="B210">
        <v>95</v>
      </c>
      <c r="C210">
        <v>4175.13</v>
      </c>
      <c r="D210">
        <v>1251.8800000000001</v>
      </c>
      <c r="E210">
        <v>280.14999999999998</v>
      </c>
      <c r="F210">
        <v>45.235100000000003</v>
      </c>
      <c r="G210">
        <v>4.0899999999999999E-2</v>
      </c>
      <c r="H210">
        <f t="shared" si="9"/>
        <v>0.29984216060338242</v>
      </c>
      <c r="I210">
        <f t="shared" si="10"/>
        <v>6.7099707074989273E-2</v>
      </c>
      <c r="J210">
        <f t="shared" si="11"/>
        <v>971.73000000000013</v>
      </c>
    </row>
    <row r="211" spans="1:10" x14ac:dyDescent="0.25">
      <c r="A211" t="s">
        <v>7</v>
      </c>
      <c r="B211">
        <v>100</v>
      </c>
      <c r="C211">
        <v>4175.13</v>
      </c>
      <c r="D211">
        <v>2594.2199999999998</v>
      </c>
      <c r="E211">
        <v>781.66</v>
      </c>
      <c r="F211">
        <v>50.990499999999997</v>
      </c>
      <c r="G211">
        <v>4.1500000000000002E-2</v>
      </c>
      <c r="H211">
        <f t="shared" si="9"/>
        <v>0.62135071243290618</v>
      </c>
      <c r="I211">
        <f t="shared" si="10"/>
        <v>0.18721812254947748</v>
      </c>
      <c r="J211">
        <f t="shared" si="11"/>
        <v>1812.56</v>
      </c>
    </row>
    <row r="212" spans="1:10" x14ac:dyDescent="0.25">
      <c r="A212" t="s">
        <v>23</v>
      </c>
      <c r="B212">
        <v>0</v>
      </c>
      <c r="C212">
        <v>2061.29</v>
      </c>
      <c r="D212">
        <v>231.06</v>
      </c>
      <c r="E212">
        <v>88.07</v>
      </c>
      <c r="F212">
        <v>43.361800000000002</v>
      </c>
      <c r="G212">
        <v>4.6800000000000001E-2</v>
      </c>
      <c r="H212">
        <f t="shared" si="9"/>
        <v>0.11209485322298172</v>
      </c>
      <c r="I212">
        <f t="shared" si="10"/>
        <v>4.2725671788055052E-2</v>
      </c>
      <c r="J212">
        <f t="shared" si="11"/>
        <v>142.99</v>
      </c>
    </row>
    <row r="213" spans="1:10" x14ac:dyDescent="0.25">
      <c r="A213" t="s">
        <v>23</v>
      </c>
      <c r="B213">
        <v>5</v>
      </c>
      <c r="C213">
        <v>2061.29</v>
      </c>
      <c r="D213">
        <v>282.24</v>
      </c>
      <c r="E213">
        <v>89.14</v>
      </c>
      <c r="F213">
        <v>43.664900000000003</v>
      </c>
      <c r="G213">
        <v>4.7399999999999998E-2</v>
      </c>
      <c r="H213">
        <f t="shared" si="9"/>
        <v>0.13692396508982241</v>
      </c>
      <c r="I213">
        <f t="shared" si="10"/>
        <v>4.3244764201058564E-2</v>
      </c>
      <c r="J213">
        <f t="shared" si="11"/>
        <v>193.10000000000002</v>
      </c>
    </row>
    <row r="214" spans="1:10" x14ac:dyDescent="0.25">
      <c r="A214" t="s">
        <v>23</v>
      </c>
      <c r="B214">
        <v>10</v>
      </c>
      <c r="C214">
        <v>2061.29</v>
      </c>
      <c r="D214">
        <v>404.1</v>
      </c>
      <c r="E214">
        <v>96.88</v>
      </c>
      <c r="F214">
        <v>44.121899999999997</v>
      </c>
      <c r="G214">
        <v>4.3999999999999997E-2</v>
      </c>
      <c r="H214">
        <f t="shared" si="9"/>
        <v>0.19604228420067046</v>
      </c>
      <c r="I214">
        <f t="shared" si="10"/>
        <v>4.6999694366149349E-2</v>
      </c>
      <c r="J214">
        <f t="shared" si="11"/>
        <v>307.22000000000003</v>
      </c>
    </row>
    <row r="215" spans="1:10" x14ac:dyDescent="0.25">
      <c r="A215" t="s">
        <v>23</v>
      </c>
      <c r="B215">
        <v>15</v>
      </c>
      <c r="C215">
        <v>2061.29</v>
      </c>
      <c r="D215">
        <v>518.09</v>
      </c>
      <c r="E215">
        <v>107.43</v>
      </c>
      <c r="F215">
        <v>44.716299999999997</v>
      </c>
      <c r="G215">
        <v>4.8099999999999997E-2</v>
      </c>
      <c r="H215">
        <f t="shared" si="9"/>
        <v>0.25134260584391332</v>
      </c>
      <c r="I215">
        <f t="shared" si="10"/>
        <v>5.2117848531744691E-2</v>
      </c>
      <c r="J215">
        <f t="shared" si="11"/>
        <v>410.66</v>
      </c>
    </row>
    <row r="216" spans="1:10" x14ac:dyDescent="0.25">
      <c r="A216" t="s">
        <v>23</v>
      </c>
      <c r="B216">
        <v>20</v>
      </c>
      <c r="C216">
        <v>2061.29</v>
      </c>
      <c r="D216">
        <v>622.19000000000005</v>
      </c>
      <c r="E216">
        <v>119.62</v>
      </c>
      <c r="F216">
        <v>45.023800000000001</v>
      </c>
      <c r="G216">
        <v>4.7100000000000003E-2</v>
      </c>
      <c r="H216">
        <f t="shared" si="9"/>
        <v>0.30184496116509568</v>
      </c>
      <c r="I216">
        <f t="shared" si="10"/>
        <v>5.8031620975214554E-2</v>
      </c>
      <c r="J216">
        <f t="shared" si="11"/>
        <v>502.57000000000005</v>
      </c>
    </row>
    <row r="217" spans="1:10" x14ac:dyDescent="0.25">
      <c r="A217" t="s">
        <v>23</v>
      </c>
      <c r="B217">
        <v>25</v>
      </c>
      <c r="C217">
        <v>2061.29</v>
      </c>
      <c r="D217">
        <v>723.21</v>
      </c>
      <c r="E217">
        <v>133.03</v>
      </c>
      <c r="F217">
        <v>45.693100000000001</v>
      </c>
      <c r="G217">
        <v>4.7199999999999999E-2</v>
      </c>
      <c r="H217">
        <f t="shared" si="9"/>
        <v>0.35085310654978197</v>
      </c>
      <c r="I217">
        <f t="shared" si="10"/>
        <v>6.4537255796127665E-2</v>
      </c>
      <c r="J217">
        <f t="shared" si="11"/>
        <v>590.18000000000006</v>
      </c>
    </row>
    <row r="218" spans="1:10" x14ac:dyDescent="0.25">
      <c r="A218" t="s">
        <v>23</v>
      </c>
      <c r="B218">
        <v>30</v>
      </c>
      <c r="C218">
        <v>2061.29</v>
      </c>
      <c r="D218">
        <v>809.85</v>
      </c>
      <c r="E218">
        <v>146.61000000000001</v>
      </c>
      <c r="F218">
        <v>45.783200000000001</v>
      </c>
      <c r="G218">
        <v>4.7199999999999999E-2</v>
      </c>
      <c r="H218">
        <f t="shared" si="9"/>
        <v>0.3928850380101781</v>
      </c>
      <c r="I218">
        <f t="shared" si="10"/>
        <v>7.1125363243405834E-2</v>
      </c>
      <c r="J218">
        <f t="shared" si="11"/>
        <v>663.24</v>
      </c>
    </row>
    <row r="219" spans="1:10" x14ac:dyDescent="0.25">
      <c r="A219" t="s">
        <v>23</v>
      </c>
      <c r="B219">
        <v>35</v>
      </c>
      <c r="C219">
        <v>2061.29</v>
      </c>
      <c r="D219">
        <v>903.84</v>
      </c>
      <c r="E219">
        <v>160.29</v>
      </c>
      <c r="F219">
        <v>46.142000000000003</v>
      </c>
      <c r="G219">
        <v>4.82E-2</v>
      </c>
      <c r="H219">
        <f t="shared" si="9"/>
        <v>0.43848269772812171</v>
      </c>
      <c r="I219">
        <f t="shared" si="10"/>
        <v>7.776198400031048E-2</v>
      </c>
      <c r="J219">
        <f t="shared" si="11"/>
        <v>743.55000000000007</v>
      </c>
    </row>
    <row r="220" spans="1:10" x14ac:dyDescent="0.25">
      <c r="A220" t="s">
        <v>23</v>
      </c>
      <c r="B220">
        <v>40</v>
      </c>
      <c r="C220">
        <v>2061.29</v>
      </c>
      <c r="D220">
        <v>963.75</v>
      </c>
      <c r="E220">
        <v>172.4</v>
      </c>
      <c r="F220">
        <v>46.228499999999997</v>
      </c>
      <c r="G220">
        <v>4.7199999999999999E-2</v>
      </c>
      <c r="H220">
        <f t="shared" si="9"/>
        <v>0.46754702152535549</v>
      </c>
      <c r="I220">
        <f t="shared" si="10"/>
        <v>8.3636945796079165E-2</v>
      </c>
      <c r="J220">
        <f t="shared" si="11"/>
        <v>791.35</v>
      </c>
    </row>
    <row r="221" spans="1:10" x14ac:dyDescent="0.25">
      <c r="A221" t="s">
        <v>23</v>
      </c>
      <c r="B221">
        <v>45</v>
      </c>
      <c r="C221">
        <v>2061.29</v>
      </c>
      <c r="D221">
        <v>1074.5</v>
      </c>
      <c r="E221">
        <v>187.06</v>
      </c>
      <c r="F221">
        <v>46.680599999999998</v>
      </c>
      <c r="G221">
        <v>4.82E-2</v>
      </c>
      <c r="H221">
        <f t="shared" si="9"/>
        <v>0.52127551193669985</v>
      </c>
      <c r="I221">
        <f t="shared" si="10"/>
        <v>9.0748996987323471E-2</v>
      </c>
      <c r="J221">
        <f t="shared" si="11"/>
        <v>887.44</v>
      </c>
    </row>
    <row r="222" spans="1:10" x14ac:dyDescent="0.25">
      <c r="A222" t="s">
        <v>23</v>
      </c>
      <c r="B222">
        <v>50</v>
      </c>
      <c r="C222">
        <v>2061.29</v>
      </c>
      <c r="D222">
        <v>1127</v>
      </c>
      <c r="E222">
        <v>199.93</v>
      </c>
      <c r="F222">
        <v>46.712800000000001</v>
      </c>
      <c r="G222">
        <v>4.5699999999999998E-2</v>
      </c>
      <c r="H222">
        <f t="shared" si="9"/>
        <v>0.54674499949061028</v>
      </c>
      <c r="I222">
        <f t="shared" si="10"/>
        <v>9.6992659936253514E-2</v>
      </c>
      <c r="J222">
        <f t="shared" si="11"/>
        <v>927.06999999999994</v>
      </c>
    </row>
    <row r="223" spans="1:10" x14ac:dyDescent="0.25">
      <c r="A223" t="s">
        <v>23</v>
      </c>
      <c r="B223">
        <v>55</v>
      </c>
      <c r="C223">
        <v>2061.29</v>
      </c>
      <c r="D223">
        <v>1174.27</v>
      </c>
      <c r="E223">
        <v>213.8</v>
      </c>
      <c r="F223">
        <v>47.076099999999997</v>
      </c>
      <c r="G223">
        <v>4.9399999999999999E-2</v>
      </c>
      <c r="H223">
        <f t="shared" si="9"/>
        <v>0.56967724095105488</v>
      </c>
      <c r="I223">
        <f t="shared" si="10"/>
        <v>0.10372145598144852</v>
      </c>
      <c r="J223">
        <f t="shared" si="11"/>
        <v>960.47</v>
      </c>
    </row>
    <row r="224" spans="1:10" x14ac:dyDescent="0.25">
      <c r="A224" t="s">
        <v>23</v>
      </c>
      <c r="B224">
        <v>60</v>
      </c>
      <c r="C224">
        <v>2061.29</v>
      </c>
      <c r="D224">
        <v>1294.45</v>
      </c>
      <c r="E224">
        <v>230.91</v>
      </c>
      <c r="F224">
        <v>47.416200000000003</v>
      </c>
      <c r="G224">
        <v>4.7300000000000002E-2</v>
      </c>
      <c r="H224">
        <f t="shared" si="9"/>
        <v>0.62798053646017793</v>
      </c>
      <c r="I224">
        <f t="shared" si="10"/>
        <v>0.11202208325854199</v>
      </c>
      <c r="J224">
        <f t="shared" si="11"/>
        <v>1063.54</v>
      </c>
    </row>
    <row r="225" spans="1:10" x14ac:dyDescent="0.25">
      <c r="A225" t="s">
        <v>23</v>
      </c>
      <c r="B225">
        <v>65</v>
      </c>
      <c r="C225">
        <v>2061.29</v>
      </c>
      <c r="D225">
        <v>1441.31</v>
      </c>
      <c r="E225">
        <v>254.01</v>
      </c>
      <c r="F225">
        <v>48.0396</v>
      </c>
      <c r="G225">
        <v>4.9000000000000002E-2</v>
      </c>
      <c r="H225">
        <f t="shared" si="9"/>
        <v>0.69922718297764985</v>
      </c>
      <c r="I225">
        <f t="shared" si="10"/>
        <v>0.12322865778226257</v>
      </c>
      <c r="J225">
        <f t="shared" si="11"/>
        <v>1187.3</v>
      </c>
    </row>
    <row r="226" spans="1:10" x14ac:dyDescent="0.25">
      <c r="A226" t="s">
        <v>23</v>
      </c>
      <c r="B226">
        <v>70</v>
      </c>
      <c r="C226">
        <v>2061.29</v>
      </c>
      <c r="D226">
        <v>1526.64</v>
      </c>
      <c r="E226">
        <v>282.49</v>
      </c>
      <c r="F226">
        <v>48.2286</v>
      </c>
      <c r="G226">
        <v>4.7199999999999999E-2</v>
      </c>
      <c r="H226">
        <f t="shared" si="9"/>
        <v>0.74062359008193901</v>
      </c>
      <c r="I226">
        <f t="shared" si="10"/>
        <v>0.13704524836388865</v>
      </c>
      <c r="J226">
        <f t="shared" si="11"/>
        <v>1244.1500000000001</v>
      </c>
    </row>
    <row r="227" spans="1:10" x14ac:dyDescent="0.25">
      <c r="A227" t="s">
        <v>23</v>
      </c>
      <c r="B227">
        <v>75</v>
      </c>
      <c r="C227">
        <v>2061.29</v>
      </c>
      <c r="D227">
        <v>1626.16</v>
      </c>
      <c r="E227">
        <v>317.14</v>
      </c>
      <c r="F227">
        <v>48.295999999999999</v>
      </c>
      <c r="G227">
        <v>4.82E-2</v>
      </c>
      <c r="H227">
        <f t="shared" si="9"/>
        <v>0.7889040358222279</v>
      </c>
      <c r="I227">
        <f t="shared" si="10"/>
        <v>0.15385511014946951</v>
      </c>
      <c r="J227">
        <f t="shared" si="11"/>
        <v>1309.02</v>
      </c>
    </row>
    <row r="228" spans="1:10" x14ac:dyDescent="0.25">
      <c r="A228" t="s">
        <v>23</v>
      </c>
      <c r="B228">
        <v>80</v>
      </c>
      <c r="C228">
        <v>2061.29</v>
      </c>
      <c r="D228">
        <v>1974.29</v>
      </c>
      <c r="E228">
        <v>374.48</v>
      </c>
      <c r="F228">
        <v>49.577399999999997</v>
      </c>
      <c r="G228">
        <v>4.8099999999999997E-2</v>
      </c>
      <c r="H228">
        <f t="shared" si="9"/>
        <v>0.95779342062494843</v>
      </c>
      <c r="I228">
        <f t="shared" si="10"/>
        <v>0.18167264188930235</v>
      </c>
      <c r="J228">
        <f t="shared" si="11"/>
        <v>1599.81</v>
      </c>
    </row>
    <row r="229" spans="1:10" x14ac:dyDescent="0.25">
      <c r="A229" t="s">
        <v>23</v>
      </c>
      <c r="B229">
        <v>85</v>
      </c>
      <c r="C229">
        <v>2061.29</v>
      </c>
      <c r="D229">
        <v>2362.83</v>
      </c>
      <c r="E229">
        <v>456</v>
      </c>
      <c r="F229">
        <v>51.281799999999997</v>
      </c>
      <c r="G229">
        <v>5.0299999999999997E-2</v>
      </c>
      <c r="H229">
        <f t="shared" si="9"/>
        <v>1.146287033847736</v>
      </c>
      <c r="I229">
        <f t="shared" si="10"/>
        <v>0.22122069189682189</v>
      </c>
      <c r="J229">
        <f t="shared" si="11"/>
        <v>1906.83</v>
      </c>
    </row>
    <row r="230" spans="1:10" x14ac:dyDescent="0.25">
      <c r="A230" t="s">
        <v>23</v>
      </c>
      <c r="B230">
        <v>90</v>
      </c>
      <c r="C230">
        <v>2061.29</v>
      </c>
      <c r="D230">
        <v>2791.35</v>
      </c>
      <c r="E230">
        <v>605.26</v>
      </c>
      <c r="F230">
        <v>51.878700000000002</v>
      </c>
      <c r="G230">
        <v>6.6000000000000003E-2</v>
      </c>
      <c r="H230">
        <f t="shared" si="9"/>
        <v>1.3541762682591969</v>
      </c>
      <c r="I230">
        <f t="shared" si="10"/>
        <v>0.29363165784532985</v>
      </c>
      <c r="J230">
        <f t="shared" si="11"/>
        <v>2186.09</v>
      </c>
    </row>
    <row r="231" spans="1:10" x14ac:dyDescent="0.25">
      <c r="A231" t="s">
        <v>23</v>
      </c>
      <c r="B231">
        <v>95</v>
      </c>
      <c r="C231">
        <v>2061.29</v>
      </c>
      <c r="D231">
        <v>3934.89</v>
      </c>
      <c r="E231">
        <v>979.58</v>
      </c>
      <c r="F231">
        <v>53.690899999999999</v>
      </c>
      <c r="G231">
        <v>6.3399999999999998E-2</v>
      </c>
      <c r="H231">
        <f t="shared" si="9"/>
        <v>1.9089453691620295</v>
      </c>
      <c r="I231">
        <f t="shared" si="10"/>
        <v>0.47522667843922983</v>
      </c>
      <c r="J231">
        <f t="shared" si="11"/>
        <v>2955.31</v>
      </c>
    </row>
    <row r="232" spans="1:10" x14ac:dyDescent="0.25">
      <c r="A232" t="s">
        <v>23</v>
      </c>
      <c r="B232">
        <v>100</v>
      </c>
      <c r="C232">
        <v>2061.29</v>
      </c>
      <c r="D232">
        <v>6565.4</v>
      </c>
      <c r="E232">
        <v>2441.2800000000002</v>
      </c>
      <c r="F232">
        <v>60.671399999999998</v>
      </c>
      <c r="G232">
        <v>6.2E-2</v>
      </c>
      <c r="H232">
        <f t="shared" si="9"/>
        <v>3.18509283021797</v>
      </c>
      <c r="I232">
        <f t="shared" si="10"/>
        <v>1.1843457252497225</v>
      </c>
      <c r="J232">
        <f t="shared" si="11"/>
        <v>4124.119999999999</v>
      </c>
    </row>
    <row r="233" spans="1:10" x14ac:dyDescent="0.25">
      <c r="A233" t="s">
        <v>13</v>
      </c>
      <c r="B233">
        <v>0</v>
      </c>
      <c r="C233">
        <v>578.6</v>
      </c>
      <c r="D233">
        <v>54.83</v>
      </c>
      <c r="E233">
        <v>22.89</v>
      </c>
      <c r="F233">
        <v>20.226400000000002</v>
      </c>
      <c r="G233">
        <v>1.5100000000000001E-2</v>
      </c>
      <c r="H233">
        <f t="shared" si="9"/>
        <v>9.4763221569305209E-2</v>
      </c>
      <c r="I233">
        <f t="shared" si="10"/>
        <v>3.9561009332872453E-2</v>
      </c>
      <c r="J233">
        <f t="shared" si="11"/>
        <v>31.939999999999998</v>
      </c>
    </row>
    <row r="234" spans="1:10" x14ac:dyDescent="0.25">
      <c r="A234" t="s">
        <v>13</v>
      </c>
      <c r="B234">
        <v>5</v>
      </c>
      <c r="C234">
        <v>578.6</v>
      </c>
      <c r="D234">
        <v>61.13</v>
      </c>
      <c r="E234">
        <v>23</v>
      </c>
      <c r="F234">
        <v>20.070399999999999</v>
      </c>
      <c r="G234">
        <v>1.7500000000000002E-2</v>
      </c>
      <c r="H234">
        <f t="shared" ref="H234:H297" si="12">D234/C234</f>
        <v>0.10565157276183892</v>
      </c>
      <c r="I234">
        <f t="shared" ref="I234:I297" si="13">E234/C234</f>
        <v>3.9751123401313516E-2</v>
      </c>
      <c r="J234">
        <f t="shared" ref="J234:J297" si="14">D234-E234</f>
        <v>38.130000000000003</v>
      </c>
    </row>
    <row r="235" spans="1:10" x14ac:dyDescent="0.25">
      <c r="A235" t="s">
        <v>13</v>
      </c>
      <c r="B235">
        <v>10</v>
      </c>
      <c r="C235">
        <v>578.6</v>
      </c>
      <c r="D235">
        <v>73.52</v>
      </c>
      <c r="E235">
        <v>24.42</v>
      </c>
      <c r="F235">
        <v>20.122599999999998</v>
      </c>
      <c r="G235">
        <v>2.1399999999999999E-2</v>
      </c>
      <c r="H235">
        <f t="shared" si="12"/>
        <v>0.12706533010715518</v>
      </c>
      <c r="I235">
        <f t="shared" si="13"/>
        <v>4.2205323193916351E-2</v>
      </c>
      <c r="J235">
        <f t="shared" si="14"/>
        <v>49.099999999999994</v>
      </c>
    </row>
    <row r="236" spans="1:10" x14ac:dyDescent="0.25">
      <c r="A236" t="s">
        <v>13</v>
      </c>
      <c r="B236">
        <v>15</v>
      </c>
      <c r="C236">
        <v>578.6</v>
      </c>
      <c r="D236">
        <v>84.74</v>
      </c>
      <c r="E236">
        <v>25.06</v>
      </c>
      <c r="F236">
        <v>20.186499999999999</v>
      </c>
      <c r="G236">
        <v>1.26E-2</v>
      </c>
      <c r="H236">
        <f t="shared" si="12"/>
        <v>0.14645696508814379</v>
      </c>
      <c r="I236">
        <f t="shared" si="13"/>
        <v>4.3311441410300723E-2</v>
      </c>
      <c r="J236">
        <f t="shared" si="14"/>
        <v>59.679999999999993</v>
      </c>
    </row>
    <row r="237" spans="1:10" x14ac:dyDescent="0.25">
      <c r="A237" t="s">
        <v>13</v>
      </c>
      <c r="B237">
        <v>20</v>
      </c>
      <c r="C237">
        <v>578.6</v>
      </c>
      <c r="D237">
        <v>94.63</v>
      </c>
      <c r="E237">
        <v>25.95</v>
      </c>
      <c r="F237">
        <v>20.309999999999999</v>
      </c>
      <c r="G237">
        <v>1.7100000000000001E-2</v>
      </c>
      <c r="H237">
        <f t="shared" si="12"/>
        <v>0.16354994815070859</v>
      </c>
      <c r="I237">
        <f t="shared" si="13"/>
        <v>4.4849637054960242E-2</v>
      </c>
      <c r="J237">
        <f t="shared" si="14"/>
        <v>68.679999999999993</v>
      </c>
    </row>
    <row r="238" spans="1:10" x14ac:dyDescent="0.25">
      <c r="A238" t="s">
        <v>13</v>
      </c>
      <c r="B238">
        <v>25</v>
      </c>
      <c r="C238">
        <v>578.6</v>
      </c>
      <c r="D238">
        <v>104.56</v>
      </c>
      <c r="E238">
        <v>27.25</v>
      </c>
      <c r="F238">
        <v>20.372900000000001</v>
      </c>
      <c r="G238">
        <v>1.2800000000000001E-2</v>
      </c>
      <c r="H238">
        <f t="shared" si="12"/>
        <v>0.18071206360179745</v>
      </c>
      <c r="I238">
        <f t="shared" si="13"/>
        <v>4.7096439681991009E-2</v>
      </c>
      <c r="J238">
        <f t="shared" si="14"/>
        <v>77.31</v>
      </c>
    </row>
    <row r="239" spans="1:10" x14ac:dyDescent="0.25">
      <c r="A239" t="s">
        <v>13</v>
      </c>
      <c r="B239">
        <v>30</v>
      </c>
      <c r="C239">
        <v>578.6</v>
      </c>
      <c r="D239">
        <v>113.77</v>
      </c>
      <c r="E239">
        <v>28.32</v>
      </c>
      <c r="F239">
        <v>20.472799999999999</v>
      </c>
      <c r="G239">
        <v>1.54E-2</v>
      </c>
      <c r="H239">
        <f t="shared" si="12"/>
        <v>0.19662979605945383</v>
      </c>
      <c r="I239">
        <f t="shared" si="13"/>
        <v>4.8945731075008637E-2</v>
      </c>
      <c r="J239">
        <f t="shared" si="14"/>
        <v>85.449999999999989</v>
      </c>
    </row>
    <row r="240" spans="1:10" x14ac:dyDescent="0.25">
      <c r="A240" t="s">
        <v>13</v>
      </c>
      <c r="B240">
        <v>35</v>
      </c>
      <c r="C240">
        <v>578.6</v>
      </c>
      <c r="D240">
        <v>122.55</v>
      </c>
      <c r="E240">
        <v>29.21</v>
      </c>
      <c r="F240">
        <v>20.303599999999999</v>
      </c>
      <c r="G240">
        <v>1.95E-2</v>
      </c>
      <c r="H240">
        <f t="shared" si="12"/>
        <v>0.21180435534047701</v>
      </c>
      <c r="I240">
        <f t="shared" si="13"/>
        <v>5.0483926719668164E-2</v>
      </c>
      <c r="J240">
        <f t="shared" si="14"/>
        <v>93.34</v>
      </c>
    </row>
    <row r="241" spans="1:10" x14ac:dyDescent="0.25">
      <c r="A241" t="s">
        <v>13</v>
      </c>
      <c r="B241">
        <v>40</v>
      </c>
      <c r="C241">
        <v>578.6</v>
      </c>
      <c r="D241">
        <v>130.38</v>
      </c>
      <c r="E241">
        <v>30.32</v>
      </c>
      <c r="F241">
        <v>20.463000000000001</v>
      </c>
      <c r="G241">
        <v>2.0199999999999999E-2</v>
      </c>
      <c r="H241">
        <f t="shared" si="12"/>
        <v>0.22533702039405459</v>
      </c>
      <c r="I241">
        <f t="shared" si="13"/>
        <v>5.2402350501209817E-2</v>
      </c>
      <c r="J241">
        <f t="shared" si="14"/>
        <v>100.06</v>
      </c>
    </row>
    <row r="242" spans="1:10" x14ac:dyDescent="0.25">
      <c r="A242" t="s">
        <v>13</v>
      </c>
      <c r="B242">
        <v>45</v>
      </c>
      <c r="C242">
        <v>578.6</v>
      </c>
      <c r="D242">
        <v>139.61000000000001</v>
      </c>
      <c r="E242">
        <v>31.31</v>
      </c>
      <c r="F242">
        <v>20.496099999999998</v>
      </c>
      <c r="G242">
        <v>2.3800000000000002E-2</v>
      </c>
      <c r="H242">
        <f t="shared" si="12"/>
        <v>0.24128931904597306</v>
      </c>
      <c r="I242">
        <f t="shared" si="13"/>
        <v>5.4113377117179395E-2</v>
      </c>
      <c r="J242">
        <f t="shared" si="14"/>
        <v>108.30000000000001</v>
      </c>
    </row>
    <row r="243" spans="1:10" x14ac:dyDescent="0.25">
      <c r="A243" t="s">
        <v>13</v>
      </c>
      <c r="B243">
        <v>50</v>
      </c>
      <c r="C243">
        <v>578.6</v>
      </c>
      <c r="D243">
        <v>147.35</v>
      </c>
      <c r="E243">
        <v>32.61</v>
      </c>
      <c r="F243">
        <v>20.490200000000002</v>
      </c>
      <c r="G243">
        <v>2.01E-2</v>
      </c>
      <c r="H243">
        <f t="shared" si="12"/>
        <v>0.25466643622537155</v>
      </c>
      <c r="I243">
        <f t="shared" si="13"/>
        <v>5.6360179744210162E-2</v>
      </c>
      <c r="J243">
        <f t="shared" si="14"/>
        <v>114.74</v>
      </c>
    </row>
    <row r="244" spans="1:10" x14ac:dyDescent="0.25">
      <c r="A244" t="s">
        <v>13</v>
      </c>
      <c r="B244">
        <v>55</v>
      </c>
      <c r="C244">
        <v>578.6</v>
      </c>
      <c r="D244">
        <v>155.41</v>
      </c>
      <c r="E244">
        <v>33.97</v>
      </c>
      <c r="F244">
        <v>20.461200000000002</v>
      </c>
      <c r="G244">
        <v>2.06E-2</v>
      </c>
      <c r="H244">
        <f t="shared" si="12"/>
        <v>0.2685966125129623</v>
      </c>
      <c r="I244">
        <f t="shared" si="13"/>
        <v>5.8710680954026956E-2</v>
      </c>
      <c r="J244">
        <f t="shared" si="14"/>
        <v>121.44</v>
      </c>
    </row>
    <row r="245" spans="1:10" x14ac:dyDescent="0.25">
      <c r="A245" t="s">
        <v>13</v>
      </c>
      <c r="B245">
        <v>60</v>
      </c>
      <c r="C245">
        <v>578.6</v>
      </c>
      <c r="D245">
        <v>165.86</v>
      </c>
      <c r="E245">
        <v>35.35</v>
      </c>
      <c r="F245">
        <v>20.527699999999999</v>
      </c>
      <c r="G245">
        <v>1.2999999999999999E-2</v>
      </c>
      <c r="H245">
        <f t="shared" si="12"/>
        <v>0.28665744901486345</v>
      </c>
      <c r="I245">
        <f t="shared" si="13"/>
        <v>6.1095748358105773E-2</v>
      </c>
      <c r="J245">
        <f t="shared" si="14"/>
        <v>130.51000000000002</v>
      </c>
    </row>
    <row r="246" spans="1:10" x14ac:dyDescent="0.25">
      <c r="A246" t="s">
        <v>13</v>
      </c>
      <c r="B246">
        <v>65</v>
      </c>
      <c r="C246">
        <v>578.6</v>
      </c>
      <c r="D246">
        <v>180.96</v>
      </c>
      <c r="E246">
        <v>37.49</v>
      </c>
      <c r="F246">
        <v>20.5809</v>
      </c>
      <c r="G246">
        <v>2.7199999999999998E-2</v>
      </c>
      <c r="H246">
        <f t="shared" si="12"/>
        <v>0.31275492568268232</v>
      </c>
      <c r="I246">
        <f t="shared" si="13"/>
        <v>6.4794331144141029E-2</v>
      </c>
      <c r="J246">
        <f t="shared" si="14"/>
        <v>143.47</v>
      </c>
    </row>
    <row r="247" spans="1:10" x14ac:dyDescent="0.25">
      <c r="A247" t="s">
        <v>13</v>
      </c>
      <c r="B247">
        <v>70</v>
      </c>
      <c r="C247">
        <v>578.6</v>
      </c>
      <c r="D247">
        <v>198.24</v>
      </c>
      <c r="E247">
        <v>40.340000000000003</v>
      </c>
      <c r="F247">
        <v>20.6128</v>
      </c>
      <c r="G247">
        <v>2.1100000000000001E-2</v>
      </c>
      <c r="H247">
        <f t="shared" si="12"/>
        <v>0.3426201175250605</v>
      </c>
      <c r="I247">
        <f t="shared" si="13"/>
        <v>6.9720013826477703E-2</v>
      </c>
      <c r="J247">
        <f t="shared" si="14"/>
        <v>157.9</v>
      </c>
    </row>
    <row r="248" spans="1:10" x14ac:dyDescent="0.25">
      <c r="A248" t="s">
        <v>13</v>
      </c>
      <c r="B248">
        <v>75</v>
      </c>
      <c r="C248">
        <v>578.6</v>
      </c>
      <c r="D248">
        <v>219.18</v>
      </c>
      <c r="E248">
        <v>43.88</v>
      </c>
      <c r="F248">
        <v>20.7544</v>
      </c>
      <c r="G248">
        <v>1.9E-2</v>
      </c>
      <c r="H248">
        <f t="shared" si="12"/>
        <v>0.37881092291738677</v>
      </c>
      <c r="I248">
        <f t="shared" si="13"/>
        <v>7.5838230210853785E-2</v>
      </c>
      <c r="J248">
        <f t="shared" si="14"/>
        <v>175.3</v>
      </c>
    </row>
    <row r="249" spans="1:10" x14ac:dyDescent="0.25">
      <c r="A249" t="s">
        <v>13</v>
      </c>
      <c r="B249">
        <v>80</v>
      </c>
      <c r="C249">
        <v>578.6</v>
      </c>
      <c r="D249">
        <v>254.71</v>
      </c>
      <c r="E249">
        <v>50.22</v>
      </c>
      <c r="F249">
        <v>20.833400000000001</v>
      </c>
      <c r="G249">
        <v>2.47E-2</v>
      </c>
      <c r="H249">
        <f t="shared" si="12"/>
        <v>0.44021776702385068</v>
      </c>
      <c r="I249">
        <f t="shared" si="13"/>
        <v>8.6795713791911505E-2</v>
      </c>
      <c r="J249">
        <f t="shared" si="14"/>
        <v>204.49</v>
      </c>
    </row>
    <row r="250" spans="1:10" x14ac:dyDescent="0.25">
      <c r="A250" t="s">
        <v>13</v>
      </c>
      <c r="B250">
        <v>85</v>
      </c>
      <c r="C250">
        <v>578.6</v>
      </c>
      <c r="D250">
        <v>308.52999999999997</v>
      </c>
      <c r="E250">
        <v>60.79</v>
      </c>
      <c r="F250">
        <v>20.969799999999999</v>
      </c>
      <c r="G250">
        <v>2.4199999999999999E-2</v>
      </c>
      <c r="H250">
        <f t="shared" si="12"/>
        <v>0.53323539578292423</v>
      </c>
      <c r="I250">
        <f t="shared" si="13"/>
        <v>0.10506394745938472</v>
      </c>
      <c r="J250">
        <f t="shared" si="14"/>
        <v>247.73999999999998</v>
      </c>
    </row>
    <row r="251" spans="1:10" x14ac:dyDescent="0.25">
      <c r="A251" t="s">
        <v>13</v>
      </c>
      <c r="B251">
        <v>90</v>
      </c>
      <c r="C251">
        <v>578.6</v>
      </c>
      <c r="D251">
        <v>419.96</v>
      </c>
      <c r="E251">
        <v>83.45</v>
      </c>
      <c r="F251">
        <v>21.229399999999998</v>
      </c>
      <c r="G251">
        <v>2.7199999999999998E-2</v>
      </c>
      <c r="H251">
        <f t="shared" si="12"/>
        <v>0.72582094711372269</v>
      </c>
      <c r="I251">
        <f t="shared" si="13"/>
        <v>0.14422744555824404</v>
      </c>
      <c r="J251">
        <f t="shared" si="14"/>
        <v>336.51</v>
      </c>
    </row>
    <row r="252" spans="1:10" x14ac:dyDescent="0.25">
      <c r="A252" t="s">
        <v>13</v>
      </c>
      <c r="B252">
        <v>95</v>
      </c>
      <c r="C252">
        <v>578.6</v>
      </c>
      <c r="D252">
        <v>694.77</v>
      </c>
      <c r="E252">
        <v>148.09</v>
      </c>
      <c r="F252">
        <v>22.2484</v>
      </c>
      <c r="G252">
        <v>1.2999999999999999E-2</v>
      </c>
      <c r="H252">
        <f t="shared" si="12"/>
        <v>1.2007777393708952</v>
      </c>
      <c r="I252">
        <f t="shared" si="13"/>
        <v>0.255945385413066</v>
      </c>
      <c r="J252">
        <f t="shared" si="14"/>
        <v>546.67999999999995</v>
      </c>
    </row>
    <row r="253" spans="1:10" x14ac:dyDescent="0.25">
      <c r="A253" t="s">
        <v>13</v>
      </c>
      <c r="B253">
        <v>100</v>
      </c>
      <c r="C253">
        <v>578.6</v>
      </c>
      <c r="D253">
        <v>1557.18</v>
      </c>
      <c r="E253">
        <v>499.53</v>
      </c>
      <c r="F253">
        <v>26.3109</v>
      </c>
      <c r="G253">
        <v>1.7999999999999999E-2</v>
      </c>
      <c r="H253">
        <f t="shared" si="12"/>
        <v>2.691289319045973</v>
      </c>
      <c r="I253">
        <f t="shared" si="13"/>
        <v>0.86334255098513646</v>
      </c>
      <c r="J253">
        <f t="shared" si="14"/>
        <v>1057.6500000000001</v>
      </c>
    </row>
    <row r="254" spans="1:10" x14ac:dyDescent="0.25">
      <c r="A254" t="s">
        <v>12</v>
      </c>
      <c r="B254">
        <v>0</v>
      </c>
      <c r="C254">
        <v>355.14</v>
      </c>
      <c r="D254">
        <v>78.099999999999994</v>
      </c>
      <c r="E254">
        <v>31.96</v>
      </c>
      <c r="F254">
        <v>20.764900000000001</v>
      </c>
      <c r="G254">
        <v>3.1699999999999999E-2</v>
      </c>
      <c r="H254">
        <f t="shared" si="12"/>
        <v>0.21991327363856505</v>
      </c>
      <c r="I254">
        <f t="shared" si="13"/>
        <v>8.9992678943515245E-2</v>
      </c>
      <c r="J254">
        <f t="shared" si="14"/>
        <v>46.139999999999993</v>
      </c>
    </row>
    <row r="255" spans="1:10" x14ac:dyDescent="0.25">
      <c r="A255" t="s">
        <v>12</v>
      </c>
      <c r="B255">
        <v>5</v>
      </c>
      <c r="C255">
        <v>355.14</v>
      </c>
      <c r="D255">
        <v>88.72</v>
      </c>
      <c r="E255">
        <v>33.11</v>
      </c>
      <c r="F255">
        <v>20.6616</v>
      </c>
      <c r="G255">
        <v>2.6800000000000001E-2</v>
      </c>
      <c r="H255">
        <f t="shared" si="12"/>
        <v>0.24981697358788085</v>
      </c>
      <c r="I255">
        <f t="shared" si="13"/>
        <v>9.3230838542546601E-2</v>
      </c>
      <c r="J255">
        <f t="shared" si="14"/>
        <v>55.61</v>
      </c>
    </row>
    <row r="256" spans="1:10" x14ac:dyDescent="0.25">
      <c r="A256" t="s">
        <v>12</v>
      </c>
      <c r="B256">
        <v>10</v>
      </c>
      <c r="C256">
        <v>355.14</v>
      </c>
      <c r="D256">
        <v>110.7</v>
      </c>
      <c r="E256">
        <v>35.950000000000003</v>
      </c>
      <c r="F256">
        <v>21.021000000000001</v>
      </c>
      <c r="G256">
        <v>2.87E-2</v>
      </c>
      <c r="H256">
        <f t="shared" si="12"/>
        <v>0.31170805879371516</v>
      </c>
      <c r="I256">
        <f t="shared" si="13"/>
        <v>0.10122768485667626</v>
      </c>
      <c r="J256">
        <f t="shared" si="14"/>
        <v>74.75</v>
      </c>
    </row>
    <row r="257" spans="1:10" x14ac:dyDescent="0.25">
      <c r="A257" t="s">
        <v>12</v>
      </c>
      <c r="B257">
        <v>15</v>
      </c>
      <c r="C257">
        <v>355.14</v>
      </c>
      <c r="D257">
        <v>131.25</v>
      </c>
      <c r="E257">
        <v>38.450000000000003</v>
      </c>
      <c r="F257">
        <v>20.938099999999999</v>
      </c>
      <c r="G257">
        <v>1.7000000000000001E-2</v>
      </c>
      <c r="H257">
        <f t="shared" si="12"/>
        <v>0.36957256293292789</v>
      </c>
      <c r="I257">
        <f t="shared" si="13"/>
        <v>0.10826716224587488</v>
      </c>
      <c r="J257">
        <f t="shared" si="14"/>
        <v>92.8</v>
      </c>
    </row>
    <row r="258" spans="1:10" x14ac:dyDescent="0.25">
      <c r="A258" t="s">
        <v>12</v>
      </c>
      <c r="B258">
        <v>20</v>
      </c>
      <c r="C258">
        <v>355.14</v>
      </c>
      <c r="D258">
        <v>151.72999999999999</v>
      </c>
      <c r="E258">
        <v>41.56</v>
      </c>
      <c r="F258">
        <v>21.0731</v>
      </c>
      <c r="G258">
        <v>2.2800000000000001E-2</v>
      </c>
      <c r="H258">
        <f t="shared" si="12"/>
        <v>0.42723996170524298</v>
      </c>
      <c r="I258">
        <f t="shared" si="13"/>
        <v>0.11702427211803797</v>
      </c>
      <c r="J258">
        <f t="shared" si="14"/>
        <v>110.16999999999999</v>
      </c>
    </row>
    <row r="259" spans="1:10" x14ac:dyDescent="0.25">
      <c r="A259" t="s">
        <v>12</v>
      </c>
      <c r="B259">
        <v>25</v>
      </c>
      <c r="C259">
        <v>355.14</v>
      </c>
      <c r="D259">
        <v>172.94</v>
      </c>
      <c r="E259">
        <v>44.25</v>
      </c>
      <c r="F259">
        <v>21.188500000000001</v>
      </c>
      <c r="G259">
        <v>1.7000000000000001E-2</v>
      </c>
      <c r="H259">
        <f t="shared" si="12"/>
        <v>0.48696288787520414</v>
      </c>
      <c r="I259">
        <f t="shared" si="13"/>
        <v>0.12459874978881569</v>
      </c>
      <c r="J259">
        <f t="shared" si="14"/>
        <v>128.69</v>
      </c>
    </row>
    <row r="260" spans="1:10" x14ac:dyDescent="0.25">
      <c r="A260" t="s">
        <v>12</v>
      </c>
      <c r="B260">
        <v>30</v>
      </c>
      <c r="C260">
        <v>355.14</v>
      </c>
      <c r="D260">
        <v>187.89</v>
      </c>
      <c r="E260">
        <v>46.89</v>
      </c>
      <c r="F260">
        <v>21.019200000000001</v>
      </c>
      <c r="G260">
        <v>2.5499999999999998E-2</v>
      </c>
      <c r="H260">
        <f t="shared" si="12"/>
        <v>0.52905896266261188</v>
      </c>
      <c r="I260">
        <f t="shared" si="13"/>
        <v>0.13203243791180944</v>
      </c>
      <c r="J260">
        <f t="shared" si="14"/>
        <v>141</v>
      </c>
    </row>
    <row r="261" spans="1:10" x14ac:dyDescent="0.25">
      <c r="A261" t="s">
        <v>12</v>
      </c>
      <c r="B261">
        <v>35</v>
      </c>
      <c r="C261">
        <v>355.14</v>
      </c>
      <c r="D261">
        <v>204.58</v>
      </c>
      <c r="E261">
        <v>50.43</v>
      </c>
      <c r="F261">
        <v>21.263999999999999</v>
      </c>
      <c r="G261">
        <v>1.7899999999999999E-2</v>
      </c>
      <c r="H261">
        <f t="shared" si="12"/>
        <v>0.57605451371290206</v>
      </c>
      <c r="I261">
        <f t="shared" si="13"/>
        <v>0.14200033789491467</v>
      </c>
      <c r="J261">
        <f t="shared" si="14"/>
        <v>154.15</v>
      </c>
    </row>
    <row r="262" spans="1:10" x14ac:dyDescent="0.25">
      <c r="A262" t="s">
        <v>12</v>
      </c>
      <c r="B262">
        <v>40</v>
      </c>
      <c r="C262">
        <v>355.14</v>
      </c>
      <c r="D262">
        <v>216.64</v>
      </c>
      <c r="E262">
        <v>53.03</v>
      </c>
      <c r="F262">
        <v>21.2944</v>
      </c>
      <c r="G262">
        <v>1.6E-2</v>
      </c>
      <c r="H262">
        <f t="shared" si="12"/>
        <v>0.61001295263839606</v>
      </c>
      <c r="I262">
        <f t="shared" si="13"/>
        <v>0.14932139437968125</v>
      </c>
      <c r="J262">
        <f t="shared" si="14"/>
        <v>163.60999999999999</v>
      </c>
    </row>
    <row r="263" spans="1:10" x14ac:dyDescent="0.25">
      <c r="A263" t="s">
        <v>12</v>
      </c>
      <c r="B263">
        <v>45</v>
      </c>
      <c r="C263">
        <v>355.14</v>
      </c>
      <c r="D263">
        <v>232.03</v>
      </c>
      <c r="E263">
        <v>56.27</v>
      </c>
      <c r="F263">
        <v>21.295200000000001</v>
      </c>
      <c r="G263">
        <v>3.1699999999999999E-2</v>
      </c>
      <c r="H263">
        <f t="shared" si="12"/>
        <v>0.65334797544630285</v>
      </c>
      <c r="I263">
        <f t="shared" si="13"/>
        <v>0.15844455707608268</v>
      </c>
      <c r="J263">
        <f t="shared" si="14"/>
        <v>175.76</v>
      </c>
    </row>
    <row r="264" spans="1:10" x14ac:dyDescent="0.25">
      <c r="A264" t="s">
        <v>12</v>
      </c>
      <c r="B264">
        <v>50</v>
      </c>
      <c r="C264">
        <v>355.14</v>
      </c>
      <c r="D264">
        <v>242.92</v>
      </c>
      <c r="E264">
        <v>59.34</v>
      </c>
      <c r="F264">
        <v>21.522400000000001</v>
      </c>
      <c r="G264">
        <v>1.7000000000000001E-2</v>
      </c>
      <c r="H264">
        <f t="shared" si="12"/>
        <v>0.68401193895365209</v>
      </c>
      <c r="I264">
        <f t="shared" si="13"/>
        <v>0.16708903531001859</v>
      </c>
      <c r="J264">
        <f t="shared" si="14"/>
        <v>183.57999999999998</v>
      </c>
    </row>
    <row r="265" spans="1:10" x14ac:dyDescent="0.25">
      <c r="A265" t="s">
        <v>12</v>
      </c>
      <c r="B265">
        <v>55</v>
      </c>
      <c r="C265">
        <v>355.14</v>
      </c>
      <c r="D265">
        <v>255.91</v>
      </c>
      <c r="E265">
        <v>61.89</v>
      </c>
      <c r="F265">
        <v>21.534300000000002</v>
      </c>
      <c r="G265">
        <v>2.46E-2</v>
      </c>
      <c r="H265">
        <f t="shared" si="12"/>
        <v>0.72058906346792817</v>
      </c>
      <c r="I265">
        <f t="shared" si="13"/>
        <v>0.17426930224700118</v>
      </c>
      <c r="J265">
        <f t="shared" si="14"/>
        <v>194.01999999999998</v>
      </c>
    </row>
    <row r="266" spans="1:10" x14ac:dyDescent="0.25">
      <c r="A266" t="s">
        <v>12</v>
      </c>
      <c r="B266">
        <v>60</v>
      </c>
      <c r="C266">
        <v>355.14</v>
      </c>
      <c r="D266">
        <v>275.11</v>
      </c>
      <c r="E266">
        <v>65.8</v>
      </c>
      <c r="F266">
        <v>21.406300000000002</v>
      </c>
      <c r="G266">
        <v>1.77E-2</v>
      </c>
      <c r="H266">
        <f t="shared" si="12"/>
        <v>0.77465224981697367</v>
      </c>
      <c r="I266">
        <f t="shared" si="13"/>
        <v>0.18527904488370783</v>
      </c>
      <c r="J266">
        <f t="shared" si="14"/>
        <v>209.31</v>
      </c>
    </row>
    <row r="267" spans="1:10" x14ac:dyDescent="0.25">
      <c r="A267" t="s">
        <v>12</v>
      </c>
      <c r="B267">
        <v>65</v>
      </c>
      <c r="C267">
        <v>355.14</v>
      </c>
      <c r="D267">
        <v>300.33999999999997</v>
      </c>
      <c r="E267">
        <v>70.69</v>
      </c>
      <c r="F267">
        <v>21.530799999999999</v>
      </c>
      <c r="G267">
        <v>3.1600000000000003E-2</v>
      </c>
      <c r="H267">
        <f t="shared" si="12"/>
        <v>0.84569465562876611</v>
      </c>
      <c r="I267">
        <f t="shared" si="13"/>
        <v>0.19904826265698033</v>
      </c>
      <c r="J267">
        <f t="shared" si="14"/>
        <v>229.64999999999998</v>
      </c>
    </row>
    <row r="268" spans="1:10" x14ac:dyDescent="0.25">
      <c r="A268" t="s">
        <v>12</v>
      </c>
      <c r="B268">
        <v>70</v>
      </c>
      <c r="C268">
        <v>355.14</v>
      </c>
      <c r="D268">
        <v>318.2</v>
      </c>
      <c r="E268">
        <v>76.58</v>
      </c>
      <c r="F268">
        <v>21.608000000000001</v>
      </c>
      <c r="G268">
        <v>1.9E-2</v>
      </c>
      <c r="H268">
        <f t="shared" si="12"/>
        <v>0.89598468209720106</v>
      </c>
      <c r="I268">
        <f t="shared" si="13"/>
        <v>0.2156332713859323</v>
      </c>
      <c r="J268">
        <f t="shared" si="14"/>
        <v>241.62</v>
      </c>
    </row>
    <row r="269" spans="1:10" x14ac:dyDescent="0.25">
      <c r="A269" t="s">
        <v>12</v>
      </c>
      <c r="B269">
        <v>75</v>
      </c>
      <c r="C269">
        <v>355.14</v>
      </c>
      <c r="D269">
        <v>342.62</v>
      </c>
      <c r="E269">
        <v>83.85</v>
      </c>
      <c r="F269">
        <v>21.648099999999999</v>
      </c>
      <c r="G269">
        <v>3.0599999999999999E-2</v>
      </c>
      <c r="H269">
        <f t="shared" si="12"/>
        <v>0.96474629723489336</v>
      </c>
      <c r="I269">
        <f t="shared" si="13"/>
        <v>0.23610407163372191</v>
      </c>
      <c r="J269">
        <f t="shared" si="14"/>
        <v>258.77</v>
      </c>
    </row>
    <row r="270" spans="1:10" x14ac:dyDescent="0.25">
      <c r="A270" t="s">
        <v>12</v>
      </c>
      <c r="B270">
        <v>80</v>
      </c>
      <c r="C270">
        <v>355.14</v>
      </c>
      <c r="D270">
        <v>381.98</v>
      </c>
      <c r="E270">
        <v>93.72</v>
      </c>
      <c r="F270">
        <v>21.832000000000001</v>
      </c>
      <c r="G270">
        <v>1.7000000000000001E-2</v>
      </c>
      <c r="H270">
        <f t="shared" si="12"/>
        <v>1.0755758292504365</v>
      </c>
      <c r="I270">
        <f t="shared" si="13"/>
        <v>0.26389592836627812</v>
      </c>
      <c r="J270">
        <f t="shared" si="14"/>
        <v>288.26</v>
      </c>
    </row>
    <row r="271" spans="1:10" x14ac:dyDescent="0.25">
      <c r="A271" t="s">
        <v>12</v>
      </c>
      <c r="B271">
        <v>85</v>
      </c>
      <c r="C271">
        <v>355.14</v>
      </c>
      <c r="D271">
        <v>419.75</v>
      </c>
      <c r="E271">
        <v>107.75</v>
      </c>
      <c r="F271">
        <v>21.6981</v>
      </c>
      <c r="G271">
        <v>1.7000000000000001E-2</v>
      </c>
      <c r="H271">
        <f t="shared" si="12"/>
        <v>1.1819282536464493</v>
      </c>
      <c r="I271">
        <f t="shared" si="13"/>
        <v>0.30340147547446078</v>
      </c>
      <c r="J271">
        <f t="shared" si="14"/>
        <v>312</v>
      </c>
    </row>
    <row r="272" spans="1:10" x14ac:dyDescent="0.25">
      <c r="A272" t="s">
        <v>12</v>
      </c>
      <c r="B272">
        <v>90</v>
      </c>
      <c r="C272">
        <v>355.14</v>
      </c>
      <c r="D272">
        <v>485.13</v>
      </c>
      <c r="E272">
        <v>134.46</v>
      </c>
      <c r="F272">
        <v>21.8124</v>
      </c>
      <c r="G272">
        <v>1.7999999999999999E-2</v>
      </c>
      <c r="H272">
        <f t="shared" si="12"/>
        <v>1.3660246663287718</v>
      </c>
      <c r="I272">
        <f t="shared" si="13"/>
        <v>0.37861125190065892</v>
      </c>
      <c r="J272">
        <f t="shared" si="14"/>
        <v>350.66999999999996</v>
      </c>
    </row>
    <row r="273" spans="1:10" x14ac:dyDescent="0.25">
      <c r="A273" t="s">
        <v>12</v>
      </c>
      <c r="B273">
        <v>95</v>
      </c>
      <c r="C273">
        <v>355.14</v>
      </c>
      <c r="D273">
        <v>637.67999999999995</v>
      </c>
      <c r="E273">
        <v>201.36</v>
      </c>
      <c r="F273">
        <v>21.900400000000001</v>
      </c>
      <c r="G273">
        <v>1.8100000000000002E-2</v>
      </c>
      <c r="H273">
        <f t="shared" si="12"/>
        <v>1.7955735766176719</v>
      </c>
      <c r="I273">
        <f t="shared" si="13"/>
        <v>0.56698766683561419</v>
      </c>
      <c r="J273">
        <f t="shared" si="14"/>
        <v>436.31999999999994</v>
      </c>
    </row>
    <row r="274" spans="1:10" x14ac:dyDescent="0.25">
      <c r="A274" t="s">
        <v>24</v>
      </c>
      <c r="B274">
        <v>100</v>
      </c>
      <c r="C274">
        <v>1163.92</v>
      </c>
      <c r="D274">
        <v>791.84</v>
      </c>
      <c r="E274">
        <v>241.25</v>
      </c>
      <c r="F274">
        <v>12.929399999999999</v>
      </c>
      <c r="G274">
        <v>8.0000000000000002E-3</v>
      </c>
      <c r="H274">
        <f t="shared" si="12"/>
        <v>0.6803216715925493</v>
      </c>
      <c r="I274">
        <f t="shared" si="13"/>
        <v>0.207273695786652</v>
      </c>
      <c r="J274">
        <f t="shared" si="14"/>
        <v>550.59</v>
      </c>
    </row>
    <row r="275" spans="1:10" x14ac:dyDescent="0.25">
      <c r="A275" t="s">
        <v>24</v>
      </c>
      <c r="B275">
        <v>0</v>
      </c>
      <c r="C275">
        <v>1163.92</v>
      </c>
      <c r="D275">
        <v>30.31</v>
      </c>
      <c r="E275">
        <v>13.5</v>
      </c>
      <c r="F275">
        <v>10.1495</v>
      </c>
      <c r="G275">
        <v>1.9099999999999999E-2</v>
      </c>
      <c r="H275">
        <f t="shared" si="12"/>
        <v>2.6041308681009002E-2</v>
      </c>
      <c r="I275">
        <f t="shared" si="13"/>
        <v>1.1598735308268609E-2</v>
      </c>
      <c r="J275">
        <f t="shared" si="14"/>
        <v>16.809999999999999</v>
      </c>
    </row>
    <row r="276" spans="1:10" x14ac:dyDescent="0.25">
      <c r="A276" t="s">
        <v>24</v>
      </c>
      <c r="B276">
        <v>5</v>
      </c>
      <c r="C276">
        <v>1163.92</v>
      </c>
      <c r="D276">
        <v>33.200000000000003</v>
      </c>
      <c r="E276">
        <v>13.5</v>
      </c>
      <c r="F276">
        <v>10.2774</v>
      </c>
      <c r="G276">
        <v>0</v>
      </c>
      <c r="H276">
        <f t="shared" si="12"/>
        <v>2.8524297202556878E-2</v>
      </c>
      <c r="I276">
        <f t="shared" si="13"/>
        <v>1.1598735308268609E-2</v>
      </c>
      <c r="J276">
        <f t="shared" si="14"/>
        <v>19.700000000000003</v>
      </c>
    </row>
    <row r="277" spans="1:10" x14ac:dyDescent="0.25">
      <c r="A277" t="s">
        <v>24</v>
      </c>
      <c r="B277">
        <v>10</v>
      </c>
      <c r="C277">
        <v>1163.92</v>
      </c>
      <c r="D277">
        <v>40.619999999999997</v>
      </c>
      <c r="E277">
        <v>14.07</v>
      </c>
      <c r="F277">
        <v>10.2075</v>
      </c>
      <c r="G277">
        <v>0</v>
      </c>
      <c r="H277">
        <f t="shared" si="12"/>
        <v>3.4899305794212659E-2</v>
      </c>
      <c r="I277">
        <f t="shared" si="13"/>
        <v>1.2088459687951062E-2</v>
      </c>
      <c r="J277">
        <f t="shared" si="14"/>
        <v>26.549999999999997</v>
      </c>
    </row>
    <row r="278" spans="1:10" x14ac:dyDescent="0.25">
      <c r="A278" t="s">
        <v>24</v>
      </c>
      <c r="B278">
        <v>15</v>
      </c>
      <c r="C278">
        <v>1163.92</v>
      </c>
      <c r="D278">
        <v>48.42</v>
      </c>
      <c r="E278">
        <v>14.32</v>
      </c>
      <c r="F278">
        <v>10.222099999999999</v>
      </c>
      <c r="G278">
        <v>8.2000000000000007E-3</v>
      </c>
      <c r="H278">
        <f t="shared" si="12"/>
        <v>4.1600797305656745E-2</v>
      </c>
      <c r="I278">
        <f t="shared" si="13"/>
        <v>1.2303251082548629E-2</v>
      </c>
      <c r="J278">
        <f t="shared" si="14"/>
        <v>34.1</v>
      </c>
    </row>
    <row r="279" spans="1:10" x14ac:dyDescent="0.25">
      <c r="A279" t="s">
        <v>24</v>
      </c>
      <c r="B279">
        <v>20</v>
      </c>
      <c r="C279">
        <v>1163.92</v>
      </c>
      <c r="D279">
        <v>55.67</v>
      </c>
      <c r="E279">
        <v>14.83</v>
      </c>
      <c r="F279">
        <v>10.512</v>
      </c>
      <c r="G279">
        <v>1.66E-2</v>
      </c>
      <c r="H279">
        <f t="shared" si="12"/>
        <v>4.7829747748986184E-2</v>
      </c>
      <c r="I279">
        <f t="shared" si="13"/>
        <v>1.2741425527527665E-2</v>
      </c>
      <c r="J279">
        <f t="shared" si="14"/>
        <v>40.840000000000003</v>
      </c>
    </row>
    <row r="280" spans="1:10" x14ac:dyDescent="0.25">
      <c r="A280" t="s">
        <v>24</v>
      </c>
      <c r="B280">
        <v>25</v>
      </c>
      <c r="C280">
        <v>1163.92</v>
      </c>
      <c r="D280">
        <v>62.84</v>
      </c>
      <c r="E280">
        <v>15.61</v>
      </c>
      <c r="F280">
        <v>10.325100000000001</v>
      </c>
      <c r="G280">
        <v>8.8999999999999999E-3</v>
      </c>
      <c r="H280">
        <f t="shared" si="12"/>
        <v>5.3989964946044404E-2</v>
      </c>
      <c r="I280">
        <f t="shared" si="13"/>
        <v>1.3411574678672072E-2</v>
      </c>
      <c r="J280">
        <f t="shared" si="14"/>
        <v>47.230000000000004</v>
      </c>
    </row>
    <row r="281" spans="1:10" x14ac:dyDescent="0.25">
      <c r="A281" t="s">
        <v>24</v>
      </c>
      <c r="B281">
        <v>30</v>
      </c>
      <c r="C281">
        <v>1163.92</v>
      </c>
      <c r="D281">
        <v>69.75</v>
      </c>
      <c r="E281">
        <v>16.18</v>
      </c>
      <c r="F281">
        <v>10.317500000000001</v>
      </c>
      <c r="G281">
        <v>1.5100000000000001E-2</v>
      </c>
      <c r="H281">
        <f t="shared" si="12"/>
        <v>5.9926799092721146E-2</v>
      </c>
      <c r="I281">
        <f t="shared" si="13"/>
        <v>1.3901299058354525E-2</v>
      </c>
      <c r="J281">
        <f t="shared" si="14"/>
        <v>53.57</v>
      </c>
    </row>
    <row r="282" spans="1:10" x14ac:dyDescent="0.25">
      <c r="A282" t="s">
        <v>24</v>
      </c>
      <c r="B282">
        <v>35</v>
      </c>
      <c r="C282">
        <v>1163.92</v>
      </c>
      <c r="D282">
        <v>76.540000000000006</v>
      </c>
      <c r="E282">
        <v>16.79</v>
      </c>
      <c r="F282">
        <v>10.5304</v>
      </c>
      <c r="G282">
        <v>1.7500000000000002E-2</v>
      </c>
      <c r="H282">
        <f t="shared" si="12"/>
        <v>6.5760533369991062E-2</v>
      </c>
      <c r="I282">
        <f t="shared" si="13"/>
        <v>1.4425390061172588E-2</v>
      </c>
      <c r="J282">
        <f t="shared" si="14"/>
        <v>59.750000000000007</v>
      </c>
    </row>
    <row r="283" spans="1:10" x14ac:dyDescent="0.25">
      <c r="A283" t="s">
        <v>24</v>
      </c>
      <c r="B283">
        <v>40</v>
      </c>
      <c r="C283">
        <v>1163.92</v>
      </c>
      <c r="D283">
        <v>82.68</v>
      </c>
      <c r="E283">
        <v>17.510000000000002</v>
      </c>
      <c r="F283">
        <v>10.337199999999999</v>
      </c>
      <c r="G283">
        <v>1.11E-2</v>
      </c>
      <c r="H283">
        <f t="shared" si="12"/>
        <v>7.1035810021307308E-2</v>
      </c>
      <c r="I283">
        <f t="shared" si="13"/>
        <v>1.5043989277613582E-2</v>
      </c>
      <c r="J283">
        <f t="shared" si="14"/>
        <v>65.17</v>
      </c>
    </row>
    <row r="284" spans="1:10" x14ac:dyDescent="0.25">
      <c r="A284" t="s">
        <v>24</v>
      </c>
      <c r="B284">
        <v>45</v>
      </c>
      <c r="C284">
        <v>1163.92</v>
      </c>
      <c r="D284">
        <v>89.48</v>
      </c>
      <c r="E284">
        <v>18.2</v>
      </c>
      <c r="F284">
        <v>10.3855</v>
      </c>
      <c r="G284">
        <v>2.1299999999999999E-2</v>
      </c>
      <c r="H284">
        <f t="shared" si="12"/>
        <v>7.6878135954361118E-2</v>
      </c>
      <c r="I284">
        <f t="shared" si="13"/>
        <v>1.5636813526702865E-2</v>
      </c>
      <c r="J284">
        <f t="shared" si="14"/>
        <v>71.28</v>
      </c>
    </row>
    <row r="285" spans="1:10" x14ac:dyDescent="0.25">
      <c r="A285" t="s">
        <v>24</v>
      </c>
      <c r="B285">
        <v>50</v>
      </c>
      <c r="C285">
        <v>1163.92</v>
      </c>
      <c r="D285">
        <v>95.51</v>
      </c>
      <c r="E285">
        <v>18.97</v>
      </c>
      <c r="F285">
        <v>10.5015</v>
      </c>
      <c r="G285">
        <v>7.0000000000000001E-3</v>
      </c>
      <c r="H285">
        <f t="shared" si="12"/>
        <v>8.2058904392054433E-2</v>
      </c>
      <c r="I285">
        <f t="shared" si="13"/>
        <v>1.6298371022063371E-2</v>
      </c>
      <c r="J285">
        <f t="shared" si="14"/>
        <v>76.540000000000006</v>
      </c>
    </row>
    <row r="286" spans="1:10" x14ac:dyDescent="0.25">
      <c r="A286" t="s">
        <v>24</v>
      </c>
      <c r="B286">
        <v>55</v>
      </c>
      <c r="C286">
        <v>1163.92</v>
      </c>
      <c r="D286">
        <v>101.8</v>
      </c>
      <c r="E286">
        <v>19.75</v>
      </c>
      <c r="F286">
        <v>10.667299999999999</v>
      </c>
      <c r="G286">
        <v>1.5299999999999999E-2</v>
      </c>
      <c r="H286">
        <f t="shared" si="12"/>
        <v>8.7463055880129217E-2</v>
      </c>
      <c r="I286">
        <f t="shared" si="13"/>
        <v>1.6968520173207779E-2</v>
      </c>
      <c r="J286">
        <f t="shared" si="14"/>
        <v>82.05</v>
      </c>
    </row>
    <row r="287" spans="1:10" x14ac:dyDescent="0.25">
      <c r="A287" t="s">
        <v>24</v>
      </c>
      <c r="B287">
        <v>60</v>
      </c>
      <c r="C287">
        <v>1163.92</v>
      </c>
      <c r="D287">
        <v>109.92</v>
      </c>
      <c r="E287">
        <v>20.74</v>
      </c>
      <c r="F287">
        <v>10.420199999999999</v>
      </c>
      <c r="G287">
        <v>1.9900000000000001E-2</v>
      </c>
      <c r="H287">
        <f t="shared" si="12"/>
        <v>9.4439480376658183E-2</v>
      </c>
      <c r="I287">
        <f t="shared" si="13"/>
        <v>1.7819094095814142E-2</v>
      </c>
      <c r="J287">
        <f t="shared" si="14"/>
        <v>89.18</v>
      </c>
    </row>
    <row r="288" spans="1:10" x14ac:dyDescent="0.25">
      <c r="A288" t="s">
        <v>24</v>
      </c>
      <c r="B288">
        <v>65</v>
      </c>
      <c r="C288">
        <v>1163.92</v>
      </c>
      <c r="D288">
        <v>120.91</v>
      </c>
      <c r="E288">
        <v>22.18</v>
      </c>
      <c r="F288">
        <v>10.5709</v>
      </c>
      <c r="G288">
        <v>1.29E-2</v>
      </c>
      <c r="H288">
        <f t="shared" si="12"/>
        <v>0.10388171008316723</v>
      </c>
      <c r="I288">
        <f t="shared" si="13"/>
        <v>1.9056292528696128E-2</v>
      </c>
      <c r="J288">
        <f t="shared" si="14"/>
        <v>98.72999999999999</v>
      </c>
    </row>
    <row r="289" spans="1:10" x14ac:dyDescent="0.25">
      <c r="A289" t="s">
        <v>24</v>
      </c>
      <c r="B289">
        <v>70</v>
      </c>
      <c r="C289">
        <v>1163.92</v>
      </c>
      <c r="D289">
        <v>134.13</v>
      </c>
      <c r="E289">
        <v>24.12</v>
      </c>
      <c r="F289">
        <v>10.544700000000001</v>
      </c>
      <c r="G289">
        <v>1.6899999999999998E-2</v>
      </c>
      <c r="H289">
        <f t="shared" si="12"/>
        <v>0.11523987902948656</v>
      </c>
      <c r="I289">
        <f t="shared" si="13"/>
        <v>2.0723073750773247E-2</v>
      </c>
      <c r="J289">
        <f t="shared" si="14"/>
        <v>110.00999999999999</v>
      </c>
    </row>
    <row r="290" spans="1:10" x14ac:dyDescent="0.25">
      <c r="A290" t="s">
        <v>24</v>
      </c>
      <c r="B290">
        <v>75</v>
      </c>
      <c r="C290">
        <v>1163.92</v>
      </c>
      <c r="D290">
        <v>149.86000000000001</v>
      </c>
      <c r="E290">
        <v>26.55</v>
      </c>
      <c r="F290">
        <v>10.7797</v>
      </c>
      <c r="G290">
        <v>1.54E-2</v>
      </c>
      <c r="H290">
        <f t="shared" si="12"/>
        <v>0.12875455357756546</v>
      </c>
      <c r="I290">
        <f t="shared" si="13"/>
        <v>2.2810846106261599E-2</v>
      </c>
      <c r="J290">
        <f t="shared" si="14"/>
        <v>123.31000000000002</v>
      </c>
    </row>
    <row r="291" spans="1:10" x14ac:dyDescent="0.25">
      <c r="A291" t="s">
        <v>24</v>
      </c>
      <c r="B291">
        <v>80</v>
      </c>
      <c r="C291">
        <v>1163.92</v>
      </c>
      <c r="D291">
        <v>174.77</v>
      </c>
      <c r="E291">
        <v>30.8</v>
      </c>
      <c r="F291">
        <v>12.6942</v>
      </c>
      <c r="G291">
        <v>8.0000000000000002E-3</v>
      </c>
      <c r="H291">
        <f t="shared" si="12"/>
        <v>0.15015636813526703</v>
      </c>
      <c r="I291">
        <f t="shared" si="13"/>
        <v>2.6462299814420234E-2</v>
      </c>
      <c r="J291">
        <f t="shared" si="14"/>
        <v>143.97</v>
      </c>
    </row>
    <row r="292" spans="1:10" x14ac:dyDescent="0.25">
      <c r="A292" t="s">
        <v>24</v>
      </c>
      <c r="B292">
        <v>85</v>
      </c>
      <c r="C292">
        <v>1163.92</v>
      </c>
      <c r="D292">
        <v>210.64</v>
      </c>
      <c r="E292">
        <v>37.630000000000003</v>
      </c>
      <c r="F292">
        <v>11.1668</v>
      </c>
      <c r="G292">
        <v>4.0000000000000001E-3</v>
      </c>
      <c r="H292">
        <f t="shared" si="12"/>
        <v>0.18097463743212588</v>
      </c>
      <c r="I292">
        <f t="shared" si="13"/>
        <v>3.2330400714825763E-2</v>
      </c>
      <c r="J292">
        <f t="shared" si="14"/>
        <v>173.01</v>
      </c>
    </row>
    <row r="293" spans="1:10" x14ac:dyDescent="0.25">
      <c r="A293" t="s">
        <v>24</v>
      </c>
      <c r="B293">
        <v>90</v>
      </c>
      <c r="C293">
        <v>1163.92</v>
      </c>
      <c r="D293">
        <v>276.49</v>
      </c>
      <c r="E293">
        <v>51.29</v>
      </c>
      <c r="F293">
        <v>11.6357</v>
      </c>
      <c r="G293">
        <v>1E-3</v>
      </c>
      <c r="H293">
        <f t="shared" si="12"/>
        <v>0.23755069076912502</v>
      </c>
      <c r="I293">
        <f t="shared" si="13"/>
        <v>4.4066602515636807E-2</v>
      </c>
      <c r="J293">
        <f t="shared" si="14"/>
        <v>225.20000000000002</v>
      </c>
    </row>
    <row r="294" spans="1:10" x14ac:dyDescent="0.25">
      <c r="A294" t="s">
        <v>24</v>
      </c>
      <c r="B294">
        <v>95</v>
      </c>
      <c r="C294">
        <v>1163.92</v>
      </c>
      <c r="D294">
        <v>415.64</v>
      </c>
      <c r="E294">
        <v>86.84</v>
      </c>
      <c r="F294">
        <v>11.611499999999999</v>
      </c>
      <c r="G294">
        <v>8.0999999999999996E-3</v>
      </c>
      <c r="H294">
        <f t="shared" si="12"/>
        <v>0.35710358100213069</v>
      </c>
      <c r="I294">
        <f t="shared" si="13"/>
        <v>7.4609938827410821E-2</v>
      </c>
      <c r="J294">
        <f t="shared" si="14"/>
        <v>328.79999999999995</v>
      </c>
    </row>
    <row r="295" spans="1:10" x14ac:dyDescent="0.25">
      <c r="A295" t="s">
        <v>24</v>
      </c>
      <c r="B295">
        <v>100</v>
      </c>
      <c r="C295">
        <v>1163.92</v>
      </c>
      <c r="D295">
        <v>791.84</v>
      </c>
      <c r="E295">
        <v>241.25</v>
      </c>
      <c r="F295">
        <v>12.929399999999999</v>
      </c>
      <c r="G295">
        <v>8.0000000000000002E-3</v>
      </c>
      <c r="H295">
        <f t="shared" si="12"/>
        <v>0.6803216715925493</v>
      </c>
      <c r="I295">
        <f t="shared" si="13"/>
        <v>0.207273695786652</v>
      </c>
      <c r="J295">
        <f t="shared" si="14"/>
        <v>550.59</v>
      </c>
    </row>
    <row r="296" spans="1:10" x14ac:dyDescent="0.25">
      <c r="A296" t="s">
        <v>10</v>
      </c>
      <c r="B296">
        <v>0</v>
      </c>
      <c r="C296">
        <v>1697.71</v>
      </c>
      <c r="D296">
        <v>33.61</v>
      </c>
      <c r="E296">
        <v>13.41</v>
      </c>
      <c r="F296">
        <v>10.406599999999999</v>
      </c>
      <c r="G296">
        <v>7.1999999999999998E-3</v>
      </c>
      <c r="H296">
        <f t="shared" si="12"/>
        <v>1.9797256304080201E-2</v>
      </c>
      <c r="I296">
        <f t="shared" si="13"/>
        <v>7.898875544115308E-3</v>
      </c>
      <c r="J296">
        <f t="shared" si="14"/>
        <v>20.2</v>
      </c>
    </row>
    <row r="297" spans="1:10" x14ac:dyDescent="0.25">
      <c r="A297" t="s">
        <v>10</v>
      </c>
      <c r="B297">
        <v>5</v>
      </c>
      <c r="C297">
        <v>1697.71</v>
      </c>
      <c r="D297">
        <v>39.24</v>
      </c>
      <c r="E297">
        <v>13.48</v>
      </c>
      <c r="F297">
        <v>10.438499999999999</v>
      </c>
      <c r="G297">
        <v>7.9000000000000008E-3</v>
      </c>
      <c r="H297">
        <f t="shared" si="12"/>
        <v>2.3113488169357547E-2</v>
      </c>
      <c r="I297">
        <f t="shared" si="13"/>
        <v>7.9401075566498409E-3</v>
      </c>
      <c r="J297">
        <f t="shared" si="14"/>
        <v>25.76</v>
      </c>
    </row>
    <row r="298" spans="1:10" x14ac:dyDescent="0.25">
      <c r="A298" t="s">
        <v>10</v>
      </c>
      <c r="B298">
        <v>10</v>
      </c>
      <c r="C298">
        <v>1697.71</v>
      </c>
      <c r="D298">
        <v>50.85</v>
      </c>
      <c r="E298">
        <v>14.57</v>
      </c>
      <c r="F298">
        <v>10.3489</v>
      </c>
      <c r="G298">
        <v>1.8200000000000001E-2</v>
      </c>
      <c r="H298">
        <f t="shared" ref="H298:H316" si="15">D298/C298</f>
        <v>2.9952111962584894E-2</v>
      </c>
      <c r="I298">
        <f t="shared" ref="I298:I316" si="16">E298/C298</f>
        <v>8.5821488946875493E-3</v>
      </c>
      <c r="J298">
        <f t="shared" ref="J298:J316" si="17">D298-E298</f>
        <v>36.28</v>
      </c>
    </row>
    <row r="299" spans="1:10" x14ac:dyDescent="0.25">
      <c r="A299" t="s">
        <v>10</v>
      </c>
      <c r="B299">
        <v>15</v>
      </c>
      <c r="C299">
        <v>1697.71</v>
      </c>
      <c r="D299">
        <v>61.85</v>
      </c>
      <c r="E299">
        <v>15.34</v>
      </c>
      <c r="F299">
        <v>10.4193</v>
      </c>
      <c r="G299">
        <v>9.4000000000000004E-3</v>
      </c>
      <c r="H299">
        <f t="shared" si="15"/>
        <v>3.6431428218011319E-2</v>
      </c>
      <c r="I299">
        <f t="shared" si="16"/>
        <v>9.0357010325673986E-3</v>
      </c>
      <c r="J299">
        <f t="shared" si="17"/>
        <v>46.510000000000005</v>
      </c>
    </row>
    <row r="300" spans="1:10" x14ac:dyDescent="0.25">
      <c r="A300" t="s">
        <v>10</v>
      </c>
      <c r="B300">
        <v>20</v>
      </c>
      <c r="C300">
        <v>1697.71</v>
      </c>
      <c r="D300">
        <v>73.78</v>
      </c>
      <c r="E300">
        <v>16.62</v>
      </c>
      <c r="F300">
        <v>10.5219</v>
      </c>
      <c r="G300">
        <v>1.9699999999999999E-2</v>
      </c>
      <c r="H300">
        <f t="shared" si="15"/>
        <v>4.3458541211396529E-2</v>
      </c>
      <c r="I300">
        <f t="shared" si="16"/>
        <v>9.7896578331988383E-3</v>
      </c>
      <c r="J300">
        <f t="shared" si="17"/>
        <v>57.16</v>
      </c>
    </row>
    <row r="301" spans="1:10" x14ac:dyDescent="0.25">
      <c r="A301" t="s">
        <v>10</v>
      </c>
      <c r="B301">
        <v>25</v>
      </c>
      <c r="C301">
        <v>1697.71</v>
      </c>
      <c r="D301">
        <v>85.86</v>
      </c>
      <c r="E301">
        <v>17.649999999999999</v>
      </c>
      <c r="F301">
        <v>10.464600000000001</v>
      </c>
      <c r="G301">
        <v>1.0699999999999999E-2</v>
      </c>
      <c r="H301">
        <f t="shared" si="15"/>
        <v>5.0574008517355731E-2</v>
      </c>
      <c r="I301">
        <f t="shared" si="16"/>
        <v>1.0396357446206948E-2</v>
      </c>
      <c r="J301">
        <f t="shared" si="17"/>
        <v>68.210000000000008</v>
      </c>
    </row>
    <row r="302" spans="1:10" x14ac:dyDescent="0.25">
      <c r="A302" t="s">
        <v>10</v>
      </c>
      <c r="B302">
        <v>30</v>
      </c>
      <c r="C302">
        <v>1697.71</v>
      </c>
      <c r="D302">
        <v>97.56</v>
      </c>
      <c r="E302">
        <v>18.760000000000002</v>
      </c>
      <c r="F302">
        <v>10.5383</v>
      </c>
      <c r="G302">
        <v>7.1000000000000004E-3</v>
      </c>
      <c r="H302">
        <f t="shared" si="15"/>
        <v>5.7465644898127478E-2</v>
      </c>
      <c r="I302">
        <f t="shared" si="16"/>
        <v>1.1050179359254526E-2</v>
      </c>
      <c r="J302">
        <f t="shared" si="17"/>
        <v>78.8</v>
      </c>
    </row>
    <row r="303" spans="1:10" x14ac:dyDescent="0.25">
      <c r="A303" t="s">
        <v>10</v>
      </c>
      <c r="B303">
        <v>35</v>
      </c>
      <c r="C303">
        <v>1697.71</v>
      </c>
      <c r="D303">
        <v>109.35</v>
      </c>
      <c r="E303">
        <v>20.059999999999999</v>
      </c>
      <c r="F303">
        <v>10.7254</v>
      </c>
      <c r="G303">
        <v>1.3299999999999999E-2</v>
      </c>
      <c r="H303">
        <f t="shared" si="15"/>
        <v>6.4410293866443619E-2</v>
      </c>
      <c r="I303">
        <f t="shared" si="16"/>
        <v>1.1815916734895829E-2</v>
      </c>
      <c r="J303">
        <f t="shared" si="17"/>
        <v>89.289999999999992</v>
      </c>
    </row>
    <row r="304" spans="1:10" x14ac:dyDescent="0.25">
      <c r="A304" t="s">
        <v>10</v>
      </c>
      <c r="B304">
        <v>40</v>
      </c>
      <c r="C304">
        <v>1697.71</v>
      </c>
      <c r="D304">
        <v>119.49</v>
      </c>
      <c r="E304">
        <v>20.83</v>
      </c>
      <c r="F304">
        <v>10.5801</v>
      </c>
      <c r="G304">
        <v>1.5100000000000001E-2</v>
      </c>
      <c r="H304">
        <f t="shared" si="15"/>
        <v>7.0383045396445798E-2</v>
      </c>
      <c r="I304">
        <f t="shared" si="16"/>
        <v>1.2269468872775679E-2</v>
      </c>
      <c r="J304">
        <f t="shared" si="17"/>
        <v>98.66</v>
      </c>
    </row>
    <row r="305" spans="1:10" x14ac:dyDescent="0.25">
      <c r="A305" t="s">
        <v>10</v>
      </c>
      <c r="B305">
        <v>45</v>
      </c>
      <c r="C305">
        <v>1697.71</v>
      </c>
      <c r="D305">
        <v>131.55000000000001</v>
      </c>
      <c r="E305">
        <v>22.14</v>
      </c>
      <c r="F305">
        <v>10.5787</v>
      </c>
      <c r="G305">
        <v>1.77E-2</v>
      </c>
      <c r="H305">
        <f t="shared" si="15"/>
        <v>7.7486732127395139E-2</v>
      </c>
      <c r="I305">
        <f t="shared" si="16"/>
        <v>1.3041096535921918E-2</v>
      </c>
      <c r="J305">
        <f t="shared" si="17"/>
        <v>109.41000000000001</v>
      </c>
    </row>
    <row r="306" spans="1:10" x14ac:dyDescent="0.25">
      <c r="A306" t="s">
        <v>10</v>
      </c>
      <c r="B306">
        <v>50</v>
      </c>
      <c r="C306">
        <v>1697.71</v>
      </c>
      <c r="D306">
        <v>142.06</v>
      </c>
      <c r="E306">
        <v>23.22</v>
      </c>
      <c r="F306">
        <v>10.689299999999999</v>
      </c>
      <c r="G306">
        <v>3.0999999999999999E-3</v>
      </c>
      <c r="H306">
        <f t="shared" si="15"/>
        <v>8.3677424295079836E-2</v>
      </c>
      <c r="I306">
        <f t="shared" si="16"/>
        <v>1.3677247586454694E-2</v>
      </c>
      <c r="J306">
        <f t="shared" si="17"/>
        <v>118.84</v>
      </c>
    </row>
    <row r="307" spans="1:10" x14ac:dyDescent="0.25">
      <c r="A307" t="s">
        <v>10</v>
      </c>
      <c r="B307">
        <v>55</v>
      </c>
      <c r="C307">
        <v>1697.71</v>
      </c>
      <c r="D307">
        <v>153.33000000000001</v>
      </c>
      <c r="E307">
        <v>24.39</v>
      </c>
      <c r="F307">
        <v>10.680400000000001</v>
      </c>
      <c r="G307">
        <v>1.0699999999999999E-2</v>
      </c>
      <c r="H307">
        <f t="shared" si="15"/>
        <v>9.0315778313139472E-2</v>
      </c>
      <c r="I307">
        <f t="shared" si="16"/>
        <v>1.436641122453187E-2</v>
      </c>
      <c r="J307">
        <f t="shared" si="17"/>
        <v>128.94</v>
      </c>
    </row>
    <row r="308" spans="1:10" x14ac:dyDescent="0.25">
      <c r="A308" t="s">
        <v>10</v>
      </c>
      <c r="B308">
        <v>60</v>
      </c>
      <c r="C308">
        <v>1697.71</v>
      </c>
      <c r="D308">
        <v>168.08</v>
      </c>
      <c r="E308">
        <v>26.06</v>
      </c>
      <c r="F308">
        <v>10.895799999999999</v>
      </c>
      <c r="G308">
        <v>1.7100000000000001E-2</v>
      </c>
      <c r="H308">
        <f t="shared" si="15"/>
        <v>9.9003952382915816E-2</v>
      </c>
      <c r="I308">
        <f t="shared" si="16"/>
        <v>1.5350089237855699E-2</v>
      </c>
      <c r="J308">
        <f t="shared" si="17"/>
        <v>142.02000000000001</v>
      </c>
    </row>
    <row r="309" spans="1:10" x14ac:dyDescent="0.25">
      <c r="A309" t="s">
        <v>10</v>
      </c>
      <c r="B309">
        <v>65</v>
      </c>
      <c r="C309">
        <v>1697.71</v>
      </c>
      <c r="D309">
        <v>187.1</v>
      </c>
      <c r="E309">
        <v>27.89</v>
      </c>
      <c r="F309">
        <v>10.841900000000001</v>
      </c>
      <c r="G309">
        <v>2.1600000000000001E-2</v>
      </c>
      <c r="H309">
        <f t="shared" si="15"/>
        <v>0.11020727921729859</v>
      </c>
      <c r="I309">
        <f t="shared" si="16"/>
        <v>1.6428011851258459E-2</v>
      </c>
      <c r="J309">
        <f t="shared" si="17"/>
        <v>159.20999999999998</v>
      </c>
    </row>
    <row r="310" spans="1:10" x14ac:dyDescent="0.25">
      <c r="A310" t="s">
        <v>10</v>
      </c>
      <c r="B310">
        <v>70</v>
      </c>
      <c r="C310">
        <v>1697.71</v>
      </c>
      <c r="D310">
        <v>211.67</v>
      </c>
      <c r="E310">
        <v>30.49</v>
      </c>
      <c r="F310">
        <v>10.8847</v>
      </c>
      <c r="G310">
        <v>1.6799999999999999E-2</v>
      </c>
      <c r="H310">
        <f t="shared" si="15"/>
        <v>0.12467971561691925</v>
      </c>
      <c r="I310">
        <f t="shared" si="16"/>
        <v>1.7959486602541069E-2</v>
      </c>
      <c r="J310">
        <f t="shared" si="17"/>
        <v>181.17999999999998</v>
      </c>
    </row>
    <row r="311" spans="1:10" x14ac:dyDescent="0.25">
      <c r="A311" t="s">
        <v>10</v>
      </c>
      <c r="B311">
        <v>75</v>
      </c>
      <c r="C311">
        <v>1697.71</v>
      </c>
      <c r="D311">
        <v>241.15</v>
      </c>
      <c r="E311">
        <v>33.909999999999997</v>
      </c>
      <c r="F311">
        <v>11.033099999999999</v>
      </c>
      <c r="G311">
        <v>4.1000000000000003E-3</v>
      </c>
      <c r="H311">
        <f t="shared" si="15"/>
        <v>0.14204428318146209</v>
      </c>
      <c r="I311">
        <f t="shared" si="16"/>
        <v>1.9973964929228195E-2</v>
      </c>
      <c r="J311">
        <f t="shared" si="17"/>
        <v>207.24</v>
      </c>
    </row>
    <row r="312" spans="1:10" x14ac:dyDescent="0.25">
      <c r="A312" t="s">
        <v>10</v>
      </c>
      <c r="B312">
        <v>80</v>
      </c>
      <c r="C312">
        <v>1697.71</v>
      </c>
      <c r="D312">
        <v>288.54000000000002</v>
      </c>
      <c r="E312">
        <v>39.78</v>
      </c>
      <c r="F312">
        <v>11.336600000000001</v>
      </c>
      <c r="G312">
        <v>1.7299999999999999E-2</v>
      </c>
      <c r="H312">
        <f t="shared" si="15"/>
        <v>0.16995835566734013</v>
      </c>
      <c r="I312">
        <f t="shared" si="16"/>
        <v>2.3431563694623934E-2</v>
      </c>
      <c r="J312">
        <f t="shared" si="17"/>
        <v>248.76000000000002</v>
      </c>
    </row>
    <row r="313" spans="1:10" x14ac:dyDescent="0.25">
      <c r="A313" t="s">
        <v>10</v>
      </c>
      <c r="B313">
        <v>85</v>
      </c>
      <c r="C313">
        <v>1697.71</v>
      </c>
      <c r="D313">
        <v>357.09</v>
      </c>
      <c r="E313">
        <v>48.68</v>
      </c>
      <c r="F313">
        <v>11.453799999999999</v>
      </c>
      <c r="G313">
        <v>6.4000000000000003E-3</v>
      </c>
      <c r="H313">
        <f t="shared" si="15"/>
        <v>0.21033627651365661</v>
      </c>
      <c r="I313">
        <f t="shared" si="16"/>
        <v>2.8673919574014408E-2</v>
      </c>
      <c r="J313">
        <f t="shared" si="17"/>
        <v>308.40999999999997</v>
      </c>
    </row>
    <row r="314" spans="1:10" x14ac:dyDescent="0.25">
      <c r="A314" t="s">
        <v>10</v>
      </c>
      <c r="B314">
        <v>90</v>
      </c>
      <c r="C314">
        <v>1697.71</v>
      </c>
      <c r="D314">
        <v>477.07</v>
      </c>
      <c r="E314">
        <v>66.53</v>
      </c>
      <c r="F314">
        <v>11.793799999999999</v>
      </c>
      <c r="G314">
        <v>1.6299999999999999E-2</v>
      </c>
      <c r="H314">
        <f t="shared" si="15"/>
        <v>0.28100794599784412</v>
      </c>
      <c r="I314">
        <f t="shared" si="16"/>
        <v>3.9188082770320022E-2</v>
      </c>
      <c r="J314">
        <f t="shared" si="17"/>
        <v>410.53999999999996</v>
      </c>
    </row>
    <row r="315" spans="1:10" x14ac:dyDescent="0.25">
      <c r="A315" t="s">
        <v>10</v>
      </c>
      <c r="B315">
        <v>95</v>
      </c>
      <c r="C315">
        <v>1697.71</v>
      </c>
      <c r="D315">
        <v>721.12</v>
      </c>
      <c r="E315">
        <v>117.19</v>
      </c>
      <c r="F315">
        <v>12.5784</v>
      </c>
      <c r="G315">
        <v>1.5599999999999999E-2</v>
      </c>
      <c r="H315">
        <f t="shared" si="15"/>
        <v>0.42476041255573682</v>
      </c>
      <c r="I315">
        <f t="shared" si="16"/>
        <v>6.9028279270311174E-2</v>
      </c>
      <c r="J315">
        <f t="shared" si="17"/>
        <v>603.93000000000006</v>
      </c>
    </row>
    <row r="316" spans="1:10" x14ac:dyDescent="0.25">
      <c r="A316" t="s">
        <v>10</v>
      </c>
      <c r="B316">
        <v>100</v>
      </c>
      <c r="C316">
        <v>1697.71</v>
      </c>
      <c r="D316">
        <v>1344.52</v>
      </c>
      <c r="E316">
        <v>353.61</v>
      </c>
      <c r="F316">
        <v>14.661</v>
      </c>
      <c r="G316">
        <v>0.01</v>
      </c>
      <c r="H316">
        <f t="shared" si="15"/>
        <v>0.7919609356132673</v>
      </c>
      <c r="I316">
        <f t="shared" si="16"/>
        <v>0.20828645646193991</v>
      </c>
      <c r="J316">
        <f t="shared" si="17"/>
        <v>990.91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603F-C92F-4B4E-91A6-562EDA67C6D4}">
  <dimension ref="A1:J316"/>
  <sheetViews>
    <sheetView zoomScale="55" zoomScaleNormal="55" workbookViewId="0">
      <selection activeCell="D66" sqref="D66"/>
    </sheetView>
  </sheetViews>
  <sheetFormatPr defaultRowHeight="15" x14ac:dyDescent="0.25"/>
  <cols>
    <col min="8" max="8" width="19.28515625" customWidth="1"/>
    <col min="9" max="9" width="20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</row>
    <row r="2" spans="1:10" x14ac:dyDescent="0.25">
      <c r="A2" t="s">
        <v>22</v>
      </c>
      <c r="B2">
        <v>0</v>
      </c>
      <c r="C2">
        <v>177716.01</v>
      </c>
      <c r="D2">
        <v>4303.63</v>
      </c>
      <c r="E2">
        <v>3855.14</v>
      </c>
      <c r="F2">
        <v>1247.5182</v>
      </c>
      <c r="G2">
        <v>2.415</v>
      </c>
      <c r="H2">
        <f>D2/C2</f>
        <v>2.4216332563397072E-2</v>
      </c>
      <c r="I2">
        <f>E2/C2</f>
        <v>2.1692699492859419E-2</v>
      </c>
      <c r="J2">
        <f>D2-E2</f>
        <v>448.49000000000024</v>
      </c>
    </row>
    <row r="3" spans="1:10" x14ac:dyDescent="0.25">
      <c r="A3" t="s">
        <v>22</v>
      </c>
      <c r="B3">
        <v>5</v>
      </c>
      <c r="C3">
        <v>177716.01</v>
      </c>
      <c r="D3">
        <v>4688.58</v>
      </c>
      <c r="E3">
        <v>4231.8999999999996</v>
      </c>
      <c r="F3">
        <v>1193.1796999999999</v>
      </c>
      <c r="G3">
        <v>2.3791000000000002</v>
      </c>
      <c r="H3">
        <f t="shared" ref="H3:H66" si="0">D3/C3</f>
        <v>2.638242891003461E-2</v>
      </c>
      <c r="I3">
        <f t="shared" ref="I3:I66" si="1">E3/C3</f>
        <v>2.3812711077634476E-2</v>
      </c>
      <c r="J3">
        <f t="shared" ref="J3:J66" si="2">D3-E3</f>
        <v>456.68000000000029</v>
      </c>
    </row>
    <row r="4" spans="1:10" x14ac:dyDescent="0.25">
      <c r="A4" t="s">
        <v>22</v>
      </c>
      <c r="B4">
        <v>10</v>
      </c>
      <c r="C4">
        <v>177716.01</v>
      </c>
      <c r="D4">
        <v>5708.44</v>
      </c>
      <c r="E4">
        <v>5222.58</v>
      </c>
      <c r="F4">
        <v>1087.5494000000001</v>
      </c>
      <c r="G4">
        <v>2.4121999999999999</v>
      </c>
      <c r="H4">
        <f t="shared" si="0"/>
        <v>3.212113528769861E-2</v>
      </c>
      <c r="I4">
        <f t="shared" si="1"/>
        <v>2.9387222906928866E-2</v>
      </c>
      <c r="J4">
        <f t="shared" si="2"/>
        <v>485.85999999999967</v>
      </c>
    </row>
    <row r="5" spans="1:10" x14ac:dyDescent="0.25">
      <c r="A5" t="s">
        <v>22</v>
      </c>
      <c r="B5">
        <v>15</v>
      </c>
      <c r="C5">
        <v>177716.01</v>
      </c>
      <c r="D5">
        <v>6751.51</v>
      </c>
      <c r="E5">
        <v>6228.78</v>
      </c>
      <c r="F5">
        <v>1081.0061000000001</v>
      </c>
      <c r="G5">
        <v>2.4053</v>
      </c>
      <c r="H5">
        <f t="shared" si="0"/>
        <v>3.7990443292081559E-2</v>
      </c>
      <c r="I5">
        <f t="shared" si="1"/>
        <v>3.5049065078604905E-2</v>
      </c>
      <c r="J5">
        <f t="shared" si="2"/>
        <v>522.73000000000047</v>
      </c>
    </row>
    <row r="6" spans="1:10" x14ac:dyDescent="0.25">
      <c r="A6" t="s">
        <v>22</v>
      </c>
      <c r="B6">
        <v>20</v>
      </c>
      <c r="C6">
        <v>177716.01</v>
      </c>
      <c r="D6">
        <v>7735.37</v>
      </c>
      <c r="E6">
        <v>7158.45</v>
      </c>
      <c r="F6">
        <v>1082.1826000000001</v>
      </c>
      <c r="G6">
        <v>2.4304000000000001</v>
      </c>
      <c r="H6">
        <f t="shared" si="0"/>
        <v>4.3526579287932465E-2</v>
      </c>
      <c r="I6">
        <f t="shared" si="1"/>
        <v>4.0280276380276599E-2</v>
      </c>
      <c r="J6">
        <f t="shared" si="2"/>
        <v>576.92000000000007</v>
      </c>
    </row>
    <row r="7" spans="1:10" x14ac:dyDescent="0.25">
      <c r="A7" t="s">
        <v>22</v>
      </c>
      <c r="B7">
        <v>25</v>
      </c>
      <c r="C7">
        <v>177716.01</v>
      </c>
      <c r="D7">
        <v>8673.99</v>
      </c>
      <c r="E7">
        <v>8033.95</v>
      </c>
      <c r="F7">
        <v>1074.1394</v>
      </c>
      <c r="G7">
        <v>2.3696000000000002</v>
      </c>
      <c r="H7">
        <f t="shared" si="0"/>
        <v>4.8808151837304921E-2</v>
      </c>
      <c r="I7">
        <f t="shared" si="1"/>
        <v>4.5206675526870084E-2</v>
      </c>
      <c r="J7">
        <f t="shared" si="2"/>
        <v>640.04</v>
      </c>
    </row>
    <row r="8" spans="1:10" x14ac:dyDescent="0.25">
      <c r="A8" t="s">
        <v>22</v>
      </c>
      <c r="B8">
        <v>30</v>
      </c>
      <c r="C8">
        <v>177716.01</v>
      </c>
      <c r="D8">
        <v>9546.5499999999993</v>
      </c>
      <c r="E8">
        <v>8840.34</v>
      </c>
      <c r="F8">
        <v>1077.0487000000001</v>
      </c>
      <c r="G8">
        <v>2.3839000000000001</v>
      </c>
      <c r="H8">
        <f t="shared" si="0"/>
        <v>5.3718007736050337E-2</v>
      </c>
      <c r="I8">
        <f t="shared" si="1"/>
        <v>4.9744195809932938E-2</v>
      </c>
      <c r="J8">
        <f t="shared" si="2"/>
        <v>706.20999999999913</v>
      </c>
    </row>
    <row r="9" spans="1:10" x14ac:dyDescent="0.25">
      <c r="A9" t="s">
        <v>22</v>
      </c>
      <c r="B9">
        <v>35</v>
      </c>
      <c r="C9">
        <v>177716.01</v>
      </c>
      <c r="D9">
        <v>10383.129999999999</v>
      </c>
      <c r="E9">
        <v>9611.73</v>
      </c>
      <c r="F9">
        <v>1080.1220000000001</v>
      </c>
      <c r="G9">
        <v>2.2242999999999999</v>
      </c>
      <c r="H9">
        <f t="shared" si="0"/>
        <v>5.8425405792083662E-2</v>
      </c>
      <c r="I9">
        <f t="shared" si="1"/>
        <v>5.4084772666233051E-2</v>
      </c>
      <c r="J9">
        <f t="shared" si="2"/>
        <v>771.39999999999964</v>
      </c>
    </row>
    <row r="10" spans="1:10" x14ac:dyDescent="0.25">
      <c r="A10" t="s">
        <v>22</v>
      </c>
      <c r="B10">
        <v>40</v>
      </c>
      <c r="C10">
        <v>177716.01</v>
      </c>
      <c r="D10">
        <v>11098.08</v>
      </c>
      <c r="E10">
        <v>10243.6</v>
      </c>
      <c r="F10">
        <v>1083.8811000000001</v>
      </c>
      <c r="G10">
        <v>2.3311000000000002</v>
      </c>
      <c r="H10">
        <f t="shared" si="0"/>
        <v>6.2448397305341255E-2</v>
      </c>
      <c r="I10">
        <f t="shared" si="1"/>
        <v>5.7640276753906414E-2</v>
      </c>
      <c r="J10">
        <f t="shared" si="2"/>
        <v>854.47999999999956</v>
      </c>
    </row>
    <row r="11" spans="1:10" x14ac:dyDescent="0.25">
      <c r="A11" t="s">
        <v>22</v>
      </c>
      <c r="B11">
        <v>45</v>
      </c>
      <c r="C11">
        <v>177716.01</v>
      </c>
      <c r="D11">
        <v>11898.83</v>
      </c>
      <c r="E11">
        <v>10955.28</v>
      </c>
      <c r="F11">
        <v>1088.566</v>
      </c>
      <c r="G11">
        <v>2.5146999999999999</v>
      </c>
      <c r="H11">
        <f t="shared" si="0"/>
        <v>6.6954181561920054E-2</v>
      </c>
      <c r="I11">
        <f t="shared" si="1"/>
        <v>6.1644868124149307E-2</v>
      </c>
      <c r="J11">
        <f t="shared" si="2"/>
        <v>943.54999999999927</v>
      </c>
    </row>
    <row r="12" spans="1:10" x14ac:dyDescent="0.25">
      <c r="A12" t="s">
        <v>22</v>
      </c>
      <c r="B12">
        <v>50</v>
      </c>
      <c r="C12">
        <v>177716.01</v>
      </c>
      <c r="D12">
        <v>12602.11</v>
      </c>
      <c r="E12">
        <v>11582.32</v>
      </c>
      <c r="F12">
        <v>1099.7257999999999</v>
      </c>
      <c r="G12">
        <v>2.6135999999999999</v>
      </c>
      <c r="H12">
        <f t="shared" si="0"/>
        <v>7.0911506509739888E-2</v>
      </c>
      <c r="I12">
        <f t="shared" si="1"/>
        <v>6.5173194018929403E-2</v>
      </c>
      <c r="J12">
        <f t="shared" si="2"/>
        <v>1019.7900000000009</v>
      </c>
    </row>
    <row r="13" spans="1:10" x14ac:dyDescent="0.25">
      <c r="A13" t="s">
        <v>22</v>
      </c>
      <c r="B13">
        <v>55</v>
      </c>
      <c r="C13">
        <v>177716.01</v>
      </c>
      <c r="D13">
        <v>13303.08</v>
      </c>
      <c r="E13">
        <v>12213.07</v>
      </c>
      <c r="F13">
        <v>1155.9112</v>
      </c>
      <c r="G13">
        <v>2.8961000000000001</v>
      </c>
      <c r="H13">
        <f t="shared" si="0"/>
        <v>7.4855833191393384E-2</v>
      </c>
      <c r="I13">
        <f t="shared" si="1"/>
        <v>6.8722395916946358E-2</v>
      </c>
      <c r="J13">
        <f t="shared" si="2"/>
        <v>1090.0100000000002</v>
      </c>
    </row>
    <row r="14" spans="1:10" x14ac:dyDescent="0.25">
      <c r="A14" t="s">
        <v>22</v>
      </c>
      <c r="B14">
        <v>60</v>
      </c>
      <c r="C14">
        <v>177716.01</v>
      </c>
      <c r="D14">
        <v>14216.14</v>
      </c>
      <c r="E14">
        <v>13012.95</v>
      </c>
      <c r="F14">
        <v>1203.1103000000001</v>
      </c>
      <c r="G14">
        <v>2.4552999999999998</v>
      </c>
      <c r="H14">
        <f t="shared" si="0"/>
        <v>7.9993580769678538E-2</v>
      </c>
      <c r="I14">
        <f t="shared" si="1"/>
        <v>7.3223284722631343E-2</v>
      </c>
      <c r="J14">
        <f t="shared" si="2"/>
        <v>1203.1899999999987</v>
      </c>
    </row>
    <row r="15" spans="1:10" x14ac:dyDescent="0.25">
      <c r="A15" t="s">
        <v>22</v>
      </c>
      <c r="B15">
        <v>65</v>
      </c>
      <c r="C15">
        <v>177716.01</v>
      </c>
      <c r="D15">
        <v>15340.71</v>
      </c>
      <c r="E15">
        <v>13982.93</v>
      </c>
      <c r="F15">
        <v>1215.808</v>
      </c>
      <c r="G15">
        <v>2.4592000000000001</v>
      </c>
      <c r="H15">
        <f t="shared" si="0"/>
        <v>8.6321485610666132E-2</v>
      </c>
      <c r="I15">
        <f t="shared" si="1"/>
        <v>7.8681318582383211E-2</v>
      </c>
      <c r="J15">
        <f t="shared" si="2"/>
        <v>1357.7799999999988</v>
      </c>
    </row>
    <row r="16" spans="1:10" x14ac:dyDescent="0.25">
      <c r="A16" t="s">
        <v>22</v>
      </c>
      <c r="B16">
        <v>70</v>
      </c>
      <c r="C16">
        <v>177716.01</v>
      </c>
      <c r="D16">
        <v>16728.330000000002</v>
      </c>
      <c r="E16">
        <v>15206.37</v>
      </c>
      <c r="F16">
        <v>1108.5581</v>
      </c>
      <c r="G16">
        <v>2.4790000000000001</v>
      </c>
      <c r="H16">
        <f t="shared" si="0"/>
        <v>9.4129560977651933E-2</v>
      </c>
      <c r="I16">
        <f t="shared" si="1"/>
        <v>8.5565560469200275E-2</v>
      </c>
      <c r="J16">
        <f t="shared" si="2"/>
        <v>1521.9600000000009</v>
      </c>
    </row>
    <row r="17" spans="1:10" x14ac:dyDescent="0.25">
      <c r="A17" t="s">
        <v>22</v>
      </c>
      <c r="B17">
        <v>75</v>
      </c>
      <c r="C17">
        <v>177716.01</v>
      </c>
      <c r="D17">
        <v>18266.02</v>
      </c>
      <c r="E17">
        <v>16582.54</v>
      </c>
      <c r="F17">
        <v>1111.5966000000001</v>
      </c>
      <c r="G17">
        <v>2.3077000000000001</v>
      </c>
      <c r="H17">
        <f t="shared" si="0"/>
        <v>0.10278207348904581</v>
      </c>
      <c r="I17">
        <f t="shared" si="1"/>
        <v>9.330920720085939E-2</v>
      </c>
      <c r="J17">
        <f t="shared" si="2"/>
        <v>1683.4799999999996</v>
      </c>
    </row>
    <row r="18" spans="1:10" x14ac:dyDescent="0.25">
      <c r="A18" t="s">
        <v>22</v>
      </c>
      <c r="B18">
        <v>80</v>
      </c>
      <c r="C18">
        <v>177716.01</v>
      </c>
      <c r="D18">
        <v>20676.28</v>
      </c>
      <c r="E18">
        <v>18746.990000000002</v>
      </c>
      <c r="F18">
        <v>1124.0531000000001</v>
      </c>
      <c r="G18">
        <v>2.5253999999999999</v>
      </c>
      <c r="H18">
        <f t="shared" si="0"/>
        <v>0.1163444981687356</v>
      </c>
      <c r="I18">
        <f t="shared" si="1"/>
        <v>0.10548847005961928</v>
      </c>
      <c r="J18">
        <f t="shared" si="2"/>
        <v>1929.2899999999972</v>
      </c>
    </row>
    <row r="19" spans="1:10" x14ac:dyDescent="0.25">
      <c r="A19" t="s">
        <v>22</v>
      </c>
      <c r="B19">
        <v>85</v>
      </c>
      <c r="C19">
        <v>177716.01</v>
      </c>
      <c r="D19">
        <v>24141.11</v>
      </c>
      <c r="E19">
        <v>21861.33</v>
      </c>
      <c r="F19">
        <v>1146.3145</v>
      </c>
      <c r="G19">
        <v>2.5001000000000002</v>
      </c>
      <c r="H19">
        <f t="shared" si="0"/>
        <v>0.13584094083588755</v>
      </c>
      <c r="I19">
        <f t="shared" si="1"/>
        <v>0.12301272125116922</v>
      </c>
      <c r="J19">
        <f t="shared" si="2"/>
        <v>2279.7799999999988</v>
      </c>
    </row>
    <row r="20" spans="1:10" x14ac:dyDescent="0.25">
      <c r="A20" t="s">
        <v>22</v>
      </c>
      <c r="B20">
        <v>90</v>
      </c>
      <c r="C20">
        <v>177716.01</v>
      </c>
      <c r="D20">
        <v>30194.7</v>
      </c>
      <c r="E20">
        <v>27287.43</v>
      </c>
      <c r="F20">
        <v>1155.548</v>
      </c>
      <c r="G20">
        <v>2.5442999999999998</v>
      </c>
      <c r="H20">
        <f t="shared" si="0"/>
        <v>0.16990421965921923</v>
      </c>
      <c r="I20">
        <f t="shared" si="1"/>
        <v>0.1535451420499481</v>
      </c>
      <c r="J20">
        <f t="shared" si="2"/>
        <v>2907.2700000000004</v>
      </c>
    </row>
    <row r="21" spans="1:10" x14ac:dyDescent="0.25">
      <c r="A21" t="s">
        <v>22</v>
      </c>
      <c r="B21">
        <v>95</v>
      </c>
      <c r="C21">
        <v>177716.01</v>
      </c>
      <c r="D21">
        <v>43187</v>
      </c>
      <c r="E21">
        <v>39363.54</v>
      </c>
      <c r="F21">
        <v>1188.2609</v>
      </c>
      <c r="G21">
        <v>2.37</v>
      </c>
      <c r="H21">
        <f t="shared" si="0"/>
        <v>0.24301130776006055</v>
      </c>
      <c r="I21">
        <f t="shared" si="1"/>
        <v>0.22149687020319667</v>
      </c>
      <c r="J21">
        <f t="shared" si="2"/>
        <v>3823.4599999999991</v>
      </c>
    </row>
    <row r="22" spans="1:10" x14ac:dyDescent="0.25">
      <c r="A22" t="s">
        <v>22</v>
      </c>
      <c r="B22">
        <v>100</v>
      </c>
      <c r="C22">
        <v>177716.01</v>
      </c>
      <c r="D22">
        <v>74650.69</v>
      </c>
      <c r="E22">
        <v>77502.03</v>
      </c>
      <c r="F22">
        <v>1369.5266999999999</v>
      </c>
      <c r="G22">
        <v>2.8149999999999999</v>
      </c>
      <c r="H22">
        <f t="shared" si="0"/>
        <v>0.4200560771086409</v>
      </c>
      <c r="I22">
        <f t="shared" si="1"/>
        <v>0.43610043912194513</v>
      </c>
      <c r="J22">
        <f t="shared" si="2"/>
        <v>-2851.3399999999965</v>
      </c>
    </row>
    <row r="23" spans="1:10" x14ac:dyDescent="0.25">
      <c r="A23" t="s">
        <v>16</v>
      </c>
      <c r="B23">
        <v>0</v>
      </c>
      <c r="C23">
        <v>51.7</v>
      </c>
      <c r="D23">
        <v>16.670000000000002</v>
      </c>
      <c r="E23">
        <v>15.44</v>
      </c>
      <c r="F23">
        <v>4.0388000000000002</v>
      </c>
      <c r="G23">
        <v>4.0000000000000001E-3</v>
      </c>
      <c r="H23">
        <f t="shared" si="0"/>
        <v>0.32243713733075435</v>
      </c>
      <c r="I23">
        <f t="shared" si="1"/>
        <v>0.29864603481624757</v>
      </c>
      <c r="J23">
        <f t="shared" si="2"/>
        <v>1.2300000000000022</v>
      </c>
    </row>
    <row r="24" spans="1:10" x14ac:dyDescent="0.25">
      <c r="A24" t="s">
        <v>16</v>
      </c>
      <c r="B24">
        <v>5</v>
      </c>
      <c r="C24">
        <v>51.7</v>
      </c>
      <c r="D24">
        <v>19.03</v>
      </c>
      <c r="E24">
        <v>17.399999999999999</v>
      </c>
      <c r="F24">
        <v>4.0224000000000002</v>
      </c>
      <c r="G24">
        <v>4.0000000000000001E-3</v>
      </c>
      <c r="H24">
        <f t="shared" si="0"/>
        <v>0.3680851063829787</v>
      </c>
      <c r="I24">
        <f t="shared" si="1"/>
        <v>0.33655705996131524</v>
      </c>
      <c r="J24">
        <f t="shared" si="2"/>
        <v>1.6300000000000026</v>
      </c>
    </row>
    <row r="25" spans="1:10" x14ac:dyDescent="0.25">
      <c r="A25" t="s">
        <v>16</v>
      </c>
      <c r="B25">
        <v>10</v>
      </c>
      <c r="C25">
        <v>51.7</v>
      </c>
      <c r="D25">
        <v>22.99</v>
      </c>
      <c r="E25">
        <v>21.06</v>
      </c>
      <c r="F25">
        <v>4.5716999999999999</v>
      </c>
      <c r="G25">
        <v>4.0000000000000001E-3</v>
      </c>
      <c r="H25">
        <f t="shared" si="0"/>
        <v>0.44468085106382971</v>
      </c>
      <c r="I25">
        <f t="shared" si="1"/>
        <v>0.40735009671179878</v>
      </c>
      <c r="J25">
        <f t="shared" si="2"/>
        <v>1.9299999999999997</v>
      </c>
    </row>
    <row r="26" spans="1:10" x14ac:dyDescent="0.25">
      <c r="A26" t="s">
        <v>16</v>
      </c>
      <c r="B26">
        <v>15</v>
      </c>
      <c r="C26">
        <v>51.7</v>
      </c>
      <c r="D26">
        <v>26.73</v>
      </c>
      <c r="E26">
        <v>24.22</v>
      </c>
      <c r="F26">
        <v>3.9218999999999999</v>
      </c>
      <c r="G26">
        <v>3.0000000000000001E-3</v>
      </c>
      <c r="H26">
        <f t="shared" si="0"/>
        <v>0.51702127659574471</v>
      </c>
      <c r="I26">
        <f t="shared" si="1"/>
        <v>0.46847195357833649</v>
      </c>
      <c r="J26">
        <f t="shared" si="2"/>
        <v>2.5100000000000016</v>
      </c>
    </row>
    <row r="27" spans="1:10" x14ac:dyDescent="0.25">
      <c r="A27" t="s">
        <v>16</v>
      </c>
      <c r="B27">
        <v>20</v>
      </c>
      <c r="C27">
        <v>51.7</v>
      </c>
      <c r="D27">
        <v>29.58</v>
      </c>
      <c r="E27">
        <v>26.84</v>
      </c>
      <c r="F27">
        <v>3.8996</v>
      </c>
      <c r="G27">
        <v>5.0000000000000001E-3</v>
      </c>
      <c r="H27">
        <f t="shared" si="0"/>
        <v>0.57214700193423595</v>
      </c>
      <c r="I27">
        <f t="shared" si="1"/>
        <v>0.51914893617021274</v>
      </c>
      <c r="J27">
        <f t="shared" si="2"/>
        <v>2.7399999999999984</v>
      </c>
    </row>
    <row r="28" spans="1:10" x14ac:dyDescent="0.25">
      <c r="A28" t="s">
        <v>16</v>
      </c>
      <c r="B28">
        <v>25</v>
      </c>
      <c r="C28">
        <v>51.7</v>
      </c>
      <c r="D28">
        <v>32.520000000000003</v>
      </c>
      <c r="E28">
        <v>29.41</v>
      </c>
      <c r="F28">
        <v>3.9420000000000002</v>
      </c>
      <c r="G28">
        <v>4.0000000000000001E-3</v>
      </c>
      <c r="H28">
        <f t="shared" si="0"/>
        <v>0.62901353965183759</v>
      </c>
      <c r="I28">
        <f t="shared" si="1"/>
        <v>0.56885880077369433</v>
      </c>
      <c r="J28">
        <f t="shared" si="2"/>
        <v>3.110000000000003</v>
      </c>
    </row>
    <row r="29" spans="1:10" x14ac:dyDescent="0.25">
      <c r="A29" t="s">
        <v>16</v>
      </c>
      <c r="B29">
        <v>30</v>
      </c>
      <c r="C29">
        <v>51.7</v>
      </c>
      <c r="D29">
        <v>35</v>
      </c>
      <c r="E29">
        <v>31.93</v>
      </c>
      <c r="F29">
        <v>3.9470999999999998</v>
      </c>
      <c r="G29">
        <v>4.0000000000000001E-3</v>
      </c>
      <c r="H29">
        <f t="shared" si="0"/>
        <v>0.67698259187620891</v>
      </c>
      <c r="I29">
        <f t="shared" si="1"/>
        <v>0.61760154738878137</v>
      </c>
      <c r="J29">
        <f t="shared" si="2"/>
        <v>3.0700000000000003</v>
      </c>
    </row>
    <row r="30" spans="1:10" x14ac:dyDescent="0.25">
      <c r="A30" t="s">
        <v>16</v>
      </c>
      <c r="B30">
        <v>35</v>
      </c>
      <c r="C30">
        <v>51.7</v>
      </c>
      <c r="D30">
        <v>36.82</v>
      </c>
      <c r="E30">
        <v>33.74</v>
      </c>
      <c r="F30">
        <v>3.9531999999999998</v>
      </c>
      <c r="G30">
        <v>4.0000000000000001E-3</v>
      </c>
      <c r="H30">
        <f t="shared" si="0"/>
        <v>0.71218568665377169</v>
      </c>
      <c r="I30">
        <f t="shared" si="1"/>
        <v>0.65261121856866533</v>
      </c>
      <c r="J30">
        <f t="shared" si="2"/>
        <v>3.0799999999999983</v>
      </c>
    </row>
    <row r="31" spans="1:10" x14ac:dyDescent="0.25">
      <c r="A31" t="s">
        <v>16</v>
      </c>
      <c r="B31">
        <v>40</v>
      </c>
      <c r="C31">
        <v>51.7</v>
      </c>
      <c r="D31">
        <v>38.56</v>
      </c>
      <c r="E31">
        <v>35.28</v>
      </c>
      <c r="F31">
        <v>4.0057999999999998</v>
      </c>
      <c r="G31">
        <v>6.0000000000000001E-3</v>
      </c>
      <c r="H31">
        <f t="shared" si="0"/>
        <v>0.74584139264990335</v>
      </c>
      <c r="I31">
        <f t="shared" si="1"/>
        <v>0.68239845261121856</v>
      </c>
      <c r="J31">
        <f t="shared" si="2"/>
        <v>3.2800000000000011</v>
      </c>
    </row>
    <row r="32" spans="1:10" x14ac:dyDescent="0.25">
      <c r="A32" t="s">
        <v>16</v>
      </c>
      <c r="B32">
        <v>45</v>
      </c>
      <c r="C32">
        <v>51.7</v>
      </c>
      <c r="D32">
        <v>40.049999999999997</v>
      </c>
      <c r="E32">
        <v>36.89</v>
      </c>
      <c r="F32">
        <v>4.3010000000000002</v>
      </c>
      <c r="G32">
        <v>7.6E-3</v>
      </c>
      <c r="H32">
        <f t="shared" si="0"/>
        <v>0.77466150870406181</v>
      </c>
      <c r="I32">
        <f t="shared" si="1"/>
        <v>0.7135396518375241</v>
      </c>
      <c r="J32">
        <f t="shared" si="2"/>
        <v>3.1599999999999966</v>
      </c>
    </row>
    <row r="33" spans="1:10" x14ac:dyDescent="0.25">
      <c r="A33" t="s">
        <v>16</v>
      </c>
      <c r="B33">
        <v>50</v>
      </c>
      <c r="C33">
        <v>51.7</v>
      </c>
      <c r="D33">
        <v>41.41</v>
      </c>
      <c r="E33">
        <v>38.369999999999997</v>
      </c>
      <c r="F33">
        <v>4.4173999999999998</v>
      </c>
      <c r="G33">
        <v>6.0000000000000001E-3</v>
      </c>
      <c r="H33">
        <f t="shared" si="0"/>
        <v>0.80096711798839448</v>
      </c>
      <c r="I33">
        <f t="shared" si="1"/>
        <v>0.74216634429400374</v>
      </c>
      <c r="J33">
        <f t="shared" si="2"/>
        <v>3.0399999999999991</v>
      </c>
    </row>
    <row r="34" spans="1:10" x14ac:dyDescent="0.25">
      <c r="A34" t="s">
        <v>16</v>
      </c>
      <c r="B34">
        <v>55</v>
      </c>
      <c r="C34">
        <v>51.7</v>
      </c>
      <c r="D34">
        <v>43.26</v>
      </c>
      <c r="E34">
        <v>40.159999999999997</v>
      </c>
      <c r="F34">
        <v>4.0209000000000001</v>
      </c>
      <c r="G34">
        <v>7.0000000000000001E-3</v>
      </c>
      <c r="H34">
        <f t="shared" si="0"/>
        <v>0.83675048355899406</v>
      </c>
      <c r="I34">
        <f t="shared" si="1"/>
        <v>0.77678916827852984</v>
      </c>
      <c r="J34">
        <f t="shared" si="2"/>
        <v>3.1000000000000014</v>
      </c>
    </row>
    <row r="35" spans="1:10" x14ac:dyDescent="0.25">
      <c r="A35" t="s">
        <v>16</v>
      </c>
      <c r="B35">
        <v>60</v>
      </c>
      <c r="C35">
        <v>51.7</v>
      </c>
      <c r="D35">
        <v>45.43</v>
      </c>
      <c r="E35">
        <v>42.19</v>
      </c>
      <c r="F35">
        <v>3.9876</v>
      </c>
      <c r="G35">
        <v>4.0000000000000001E-3</v>
      </c>
      <c r="H35">
        <f t="shared" si="0"/>
        <v>0.87872340425531914</v>
      </c>
      <c r="I35">
        <f t="shared" si="1"/>
        <v>0.81605415860734998</v>
      </c>
      <c r="J35">
        <f t="shared" si="2"/>
        <v>3.240000000000002</v>
      </c>
    </row>
    <row r="36" spans="1:10" x14ac:dyDescent="0.25">
      <c r="A36" t="s">
        <v>16</v>
      </c>
      <c r="B36">
        <v>65</v>
      </c>
      <c r="C36">
        <v>51.7</v>
      </c>
      <c r="D36">
        <v>47.86</v>
      </c>
      <c r="E36">
        <v>44.55</v>
      </c>
      <c r="F36">
        <v>4.0274999999999999</v>
      </c>
      <c r="G36">
        <v>7.0000000000000001E-3</v>
      </c>
      <c r="H36">
        <f t="shared" si="0"/>
        <v>0.9257253384912959</v>
      </c>
      <c r="I36">
        <f t="shared" si="1"/>
        <v>0.86170212765957432</v>
      </c>
      <c r="J36">
        <f t="shared" si="2"/>
        <v>3.3100000000000023</v>
      </c>
    </row>
    <row r="37" spans="1:10" x14ac:dyDescent="0.25">
      <c r="A37" t="s">
        <v>16</v>
      </c>
      <c r="B37">
        <v>70</v>
      </c>
      <c r="C37">
        <v>51.7</v>
      </c>
      <c r="D37">
        <v>50.94</v>
      </c>
      <c r="E37">
        <v>47.72</v>
      </c>
      <c r="F37">
        <v>3.9933999999999998</v>
      </c>
      <c r="G37">
        <v>1.54E-2</v>
      </c>
      <c r="H37">
        <f t="shared" si="0"/>
        <v>0.98529980657640226</v>
      </c>
      <c r="I37">
        <f t="shared" si="1"/>
        <v>0.92301740812379107</v>
      </c>
      <c r="J37">
        <f t="shared" si="2"/>
        <v>3.2199999999999989</v>
      </c>
    </row>
    <row r="38" spans="1:10" x14ac:dyDescent="0.25">
      <c r="A38" t="s">
        <v>16</v>
      </c>
      <c r="B38">
        <v>75</v>
      </c>
      <c r="C38">
        <v>51.7</v>
      </c>
      <c r="D38">
        <v>54.28</v>
      </c>
      <c r="E38">
        <v>50.85</v>
      </c>
      <c r="F38">
        <v>4.0244999999999997</v>
      </c>
      <c r="G38">
        <v>6.7000000000000002E-3</v>
      </c>
      <c r="H38">
        <f t="shared" si="0"/>
        <v>1.0499032882011605</v>
      </c>
      <c r="I38">
        <f t="shared" si="1"/>
        <v>0.98355899419729209</v>
      </c>
      <c r="J38">
        <f t="shared" si="2"/>
        <v>3.4299999999999997</v>
      </c>
    </row>
    <row r="39" spans="1:10" x14ac:dyDescent="0.25">
      <c r="A39" t="s">
        <v>16</v>
      </c>
      <c r="B39">
        <v>80</v>
      </c>
      <c r="C39">
        <v>51.7</v>
      </c>
      <c r="D39">
        <v>57.99</v>
      </c>
      <c r="E39">
        <v>54.43</v>
      </c>
      <c r="F39">
        <v>3.9948999999999999</v>
      </c>
      <c r="G39">
        <v>7.4999999999999997E-3</v>
      </c>
      <c r="H39">
        <f t="shared" si="0"/>
        <v>1.1216634429400387</v>
      </c>
      <c r="I39">
        <f t="shared" si="1"/>
        <v>1.0528046421663442</v>
      </c>
      <c r="J39">
        <f t="shared" si="2"/>
        <v>3.5600000000000023</v>
      </c>
    </row>
    <row r="40" spans="1:10" x14ac:dyDescent="0.25">
      <c r="A40" t="s">
        <v>16</v>
      </c>
      <c r="B40">
        <v>85</v>
      </c>
      <c r="C40">
        <v>51.7</v>
      </c>
      <c r="D40">
        <v>62.63</v>
      </c>
      <c r="E40">
        <v>58.84</v>
      </c>
      <c r="F40">
        <v>4.0159000000000002</v>
      </c>
      <c r="G40">
        <v>5.7999999999999996E-3</v>
      </c>
      <c r="H40">
        <f t="shared" si="0"/>
        <v>1.2114119922630562</v>
      </c>
      <c r="I40">
        <f t="shared" si="1"/>
        <v>1.1381044487427465</v>
      </c>
      <c r="J40">
        <f t="shared" si="2"/>
        <v>3.7899999999999991</v>
      </c>
    </row>
    <row r="41" spans="1:10" x14ac:dyDescent="0.25">
      <c r="A41" t="s">
        <v>16</v>
      </c>
      <c r="B41">
        <v>90</v>
      </c>
      <c r="C41">
        <v>51.7</v>
      </c>
      <c r="D41">
        <v>72.44</v>
      </c>
      <c r="E41">
        <v>67.650000000000006</v>
      </c>
      <c r="F41">
        <v>4.4687999999999999</v>
      </c>
      <c r="G41">
        <v>5.0000000000000001E-3</v>
      </c>
      <c r="H41">
        <f t="shared" si="0"/>
        <v>1.4011605415860733</v>
      </c>
      <c r="I41">
        <f t="shared" si="1"/>
        <v>1.3085106382978724</v>
      </c>
      <c r="J41">
        <f t="shared" si="2"/>
        <v>4.789999999999992</v>
      </c>
    </row>
    <row r="42" spans="1:10" x14ac:dyDescent="0.25">
      <c r="A42" t="s">
        <v>16</v>
      </c>
      <c r="B42">
        <v>95</v>
      </c>
      <c r="C42">
        <v>51.7</v>
      </c>
      <c r="D42">
        <v>90.01</v>
      </c>
      <c r="E42">
        <v>83.53</v>
      </c>
      <c r="F42">
        <v>4.0717999999999996</v>
      </c>
      <c r="G42">
        <v>7.0000000000000001E-3</v>
      </c>
      <c r="H42">
        <f t="shared" si="0"/>
        <v>1.7410058027079303</v>
      </c>
      <c r="I42">
        <f t="shared" si="1"/>
        <v>1.6156673114119922</v>
      </c>
      <c r="J42">
        <f t="shared" si="2"/>
        <v>6.480000000000004</v>
      </c>
    </row>
    <row r="43" spans="1:10" x14ac:dyDescent="0.25">
      <c r="A43" t="s">
        <v>16</v>
      </c>
      <c r="B43">
        <v>100</v>
      </c>
      <c r="C43">
        <v>51.7</v>
      </c>
      <c r="D43">
        <v>126.99</v>
      </c>
      <c r="E43">
        <v>127.54</v>
      </c>
      <c r="F43">
        <v>4.2516999999999996</v>
      </c>
      <c r="G43">
        <v>5.0000000000000001E-3</v>
      </c>
      <c r="H43">
        <f t="shared" si="0"/>
        <v>2.4562862669245646</v>
      </c>
      <c r="I43">
        <f t="shared" si="1"/>
        <v>2.4669245647969054</v>
      </c>
      <c r="J43">
        <f t="shared" si="2"/>
        <v>-0.55000000000001137</v>
      </c>
    </row>
    <row r="44" spans="1:10" x14ac:dyDescent="0.25">
      <c r="A44" t="s">
        <v>11</v>
      </c>
      <c r="B44">
        <v>0</v>
      </c>
      <c r="C44">
        <v>1911.63</v>
      </c>
      <c r="D44">
        <v>32.520000000000003</v>
      </c>
      <c r="E44">
        <v>29.48</v>
      </c>
      <c r="F44">
        <v>7.8098000000000001</v>
      </c>
      <c r="G44">
        <v>3.7699999999999997E-2</v>
      </c>
      <c r="H44">
        <f t="shared" si="0"/>
        <v>1.7011660206211452E-2</v>
      </c>
      <c r="I44">
        <f t="shared" si="1"/>
        <v>1.5421394307475819E-2</v>
      </c>
      <c r="J44">
        <f t="shared" si="2"/>
        <v>3.0400000000000027</v>
      </c>
    </row>
    <row r="45" spans="1:10" x14ac:dyDescent="0.25">
      <c r="A45" t="s">
        <v>11</v>
      </c>
      <c r="B45">
        <v>5</v>
      </c>
      <c r="C45">
        <v>1911.63</v>
      </c>
      <c r="D45">
        <v>42</v>
      </c>
      <c r="E45">
        <v>38.08</v>
      </c>
      <c r="F45">
        <v>7.8403999999999998</v>
      </c>
      <c r="G45">
        <v>2.9000000000000001E-2</v>
      </c>
      <c r="H45">
        <f t="shared" si="0"/>
        <v>2.1970778864110731E-2</v>
      </c>
      <c r="I45">
        <f t="shared" si="1"/>
        <v>1.9920172836793728E-2</v>
      </c>
      <c r="J45">
        <f t="shared" si="2"/>
        <v>3.9200000000000017</v>
      </c>
    </row>
    <row r="46" spans="1:10" x14ac:dyDescent="0.25">
      <c r="A46" t="s">
        <v>11</v>
      </c>
      <c r="B46">
        <v>10</v>
      </c>
      <c r="C46">
        <v>1911.63</v>
      </c>
      <c r="D46">
        <v>60.52</v>
      </c>
      <c r="E46">
        <v>55.05</v>
      </c>
      <c r="F46">
        <v>8.0931999999999995</v>
      </c>
      <c r="G46">
        <v>3.7199999999999997E-2</v>
      </c>
      <c r="H46">
        <f t="shared" si="0"/>
        <v>3.1658846115618609E-2</v>
      </c>
      <c r="I46">
        <f t="shared" si="1"/>
        <v>2.8797413725459423E-2</v>
      </c>
      <c r="J46">
        <f t="shared" si="2"/>
        <v>5.470000000000006</v>
      </c>
    </row>
    <row r="47" spans="1:10" x14ac:dyDescent="0.25">
      <c r="A47" t="s">
        <v>11</v>
      </c>
      <c r="B47">
        <v>15</v>
      </c>
      <c r="C47">
        <v>1911.63</v>
      </c>
      <c r="D47">
        <v>76.319999999999993</v>
      </c>
      <c r="E47">
        <v>69.38</v>
      </c>
      <c r="F47">
        <v>8.2835000000000001</v>
      </c>
      <c r="G47">
        <v>2.9499999999999998E-2</v>
      </c>
      <c r="H47">
        <f t="shared" si="0"/>
        <v>3.9924043878784066E-2</v>
      </c>
      <c r="I47">
        <f t="shared" si="1"/>
        <v>3.6293634228381014E-2</v>
      </c>
      <c r="J47">
        <f t="shared" si="2"/>
        <v>6.9399999999999977</v>
      </c>
    </row>
    <row r="48" spans="1:10" x14ac:dyDescent="0.25">
      <c r="A48" t="s">
        <v>11</v>
      </c>
      <c r="B48">
        <v>20</v>
      </c>
      <c r="C48">
        <v>1911.63</v>
      </c>
      <c r="D48">
        <v>90.44</v>
      </c>
      <c r="E48">
        <v>82.16</v>
      </c>
      <c r="F48">
        <v>8.0076999999999998</v>
      </c>
      <c r="G48">
        <v>2.8000000000000001E-2</v>
      </c>
      <c r="H48">
        <f t="shared" si="0"/>
        <v>4.7310410487385109E-2</v>
      </c>
      <c r="I48">
        <f t="shared" si="1"/>
        <v>4.2979028368460417E-2</v>
      </c>
      <c r="J48">
        <f t="shared" si="2"/>
        <v>8.2800000000000011</v>
      </c>
    </row>
    <row r="49" spans="1:10" x14ac:dyDescent="0.25">
      <c r="A49" t="s">
        <v>11</v>
      </c>
      <c r="B49">
        <v>25</v>
      </c>
      <c r="C49">
        <v>1911.63</v>
      </c>
      <c r="D49">
        <v>103.22</v>
      </c>
      <c r="E49">
        <v>93.72</v>
      </c>
      <c r="F49">
        <v>8.0284999999999993</v>
      </c>
      <c r="G49">
        <v>2.8299999999999999E-2</v>
      </c>
      <c r="H49">
        <f t="shared" si="0"/>
        <v>5.3995804627464519E-2</v>
      </c>
      <c r="I49">
        <f t="shared" si="1"/>
        <v>4.9026223693915662E-2</v>
      </c>
      <c r="J49">
        <f t="shared" si="2"/>
        <v>9.5</v>
      </c>
    </row>
    <row r="50" spans="1:10" x14ac:dyDescent="0.25">
      <c r="A50" t="s">
        <v>11</v>
      </c>
      <c r="B50">
        <v>30</v>
      </c>
      <c r="C50">
        <v>1911.63</v>
      </c>
      <c r="D50">
        <v>114.72</v>
      </c>
      <c r="E50">
        <v>104.3</v>
      </c>
      <c r="F50">
        <v>8.0879999999999992</v>
      </c>
      <c r="G50">
        <v>2.9499999999999998E-2</v>
      </c>
      <c r="H50">
        <f t="shared" si="0"/>
        <v>6.0011613125971024E-2</v>
      </c>
      <c r="I50">
        <f t="shared" si="1"/>
        <v>5.4560767512541651E-2</v>
      </c>
      <c r="J50">
        <f t="shared" si="2"/>
        <v>10.420000000000002</v>
      </c>
    </row>
    <row r="51" spans="1:10" x14ac:dyDescent="0.25">
      <c r="A51" t="s">
        <v>11</v>
      </c>
      <c r="B51">
        <v>35</v>
      </c>
      <c r="C51">
        <v>1911.63</v>
      </c>
      <c r="D51">
        <v>125.88</v>
      </c>
      <c r="E51">
        <v>114.69</v>
      </c>
      <c r="F51">
        <v>8.4736999999999991</v>
      </c>
      <c r="G51">
        <v>2.8000000000000001E-2</v>
      </c>
      <c r="H51">
        <f t="shared" si="0"/>
        <v>6.5849562938434733E-2</v>
      </c>
      <c r="I51">
        <f t="shared" si="1"/>
        <v>5.9995919712496661E-2</v>
      </c>
      <c r="J51">
        <f t="shared" si="2"/>
        <v>11.189999999999998</v>
      </c>
    </row>
    <row r="52" spans="1:10" x14ac:dyDescent="0.25">
      <c r="A52" t="s">
        <v>11</v>
      </c>
      <c r="B52">
        <v>40</v>
      </c>
      <c r="C52">
        <v>1911.63</v>
      </c>
      <c r="D52">
        <v>134.72999999999999</v>
      </c>
      <c r="E52">
        <v>122.64</v>
      </c>
      <c r="F52">
        <v>8.1623000000000001</v>
      </c>
      <c r="G52">
        <v>2.8000000000000001E-2</v>
      </c>
      <c r="H52">
        <f t="shared" si="0"/>
        <v>7.0479119913372343E-2</v>
      </c>
      <c r="I52">
        <f t="shared" si="1"/>
        <v>6.4154674283203331E-2</v>
      </c>
      <c r="J52">
        <f t="shared" si="2"/>
        <v>12.089999999999989</v>
      </c>
    </row>
    <row r="53" spans="1:10" x14ac:dyDescent="0.25">
      <c r="A53" t="s">
        <v>11</v>
      </c>
      <c r="B53">
        <v>45</v>
      </c>
      <c r="C53">
        <v>1911.63</v>
      </c>
      <c r="D53">
        <v>144.65</v>
      </c>
      <c r="E53">
        <v>131.59</v>
      </c>
      <c r="F53">
        <v>8.3300999999999998</v>
      </c>
      <c r="G53">
        <v>2.9000000000000001E-2</v>
      </c>
      <c r="H53">
        <f t="shared" si="0"/>
        <v>7.5668408635562318E-2</v>
      </c>
      <c r="I53">
        <f t="shared" si="1"/>
        <v>6.8836542636388845E-2</v>
      </c>
      <c r="J53">
        <f t="shared" si="2"/>
        <v>13.060000000000002</v>
      </c>
    </row>
    <row r="54" spans="1:10" x14ac:dyDescent="0.25">
      <c r="A54" t="s">
        <v>11</v>
      </c>
      <c r="B54">
        <v>50</v>
      </c>
      <c r="C54">
        <v>1911.63</v>
      </c>
      <c r="D54">
        <v>152.96</v>
      </c>
      <c r="E54">
        <v>139.16999999999999</v>
      </c>
      <c r="F54">
        <v>8.2287999999999997</v>
      </c>
      <c r="G54">
        <v>2.8199999999999999E-2</v>
      </c>
      <c r="H54">
        <f t="shared" si="0"/>
        <v>8.0015484167961379E-2</v>
      </c>
      <c r="I54">
        <f t="shared" si="1"/>
        <v>7.2801745107578336E-2</v>
      </c>
      <c r="J54">
        <f t="shared" si="2"/>
        <v>13.79000000000002</v>
      </c>
    </row>
    <row r="55" spans="1:10" x14ac:dyDescent="0.25">
      <c r="A55" t="s">
        <v>11</v>
      </c>
      <c r="B55">
        <v>55</v>
      </c>
      <c r="C55">
        <v>1911.63</v>
      </c>
      <c r="D55">
        <v>161.75</v>
      </c>
      <c r="E55">
        <v>147.19999999999999</v>
      </c>
      <c r="F55">
        <v>8.2332999999999998</v>
      </c>
      <c r="G55">
        <v>3.3099999999999997E-2</v>
      </c>
      <c r="H55">
        <f t="shared" si="0"/>
        <v>8.4613654315950262E-2</v>
      </c>
      <c r="I55">
        <f t="shared" si="1"/>
        <v>7.7002348780883315E-2</v>
      </c>
      <c r="J55">
        <f t="shared" si="2"/>
        <v>14.550000000000011</v>
      </c>
    </row>
    <row r="56" spans="1:10" x14ac:dyDescent="0.25">
      <c r="A56" t="s">
        <v>11</v>
      </c>
      <c r="B56">
        <v>60</v>
      </c>
      <c r="C56">
        <v>1911.63</v>
      </c>
      <c r="D56">
        <v>172.79</v>
      </c>
      <c r="E56">
        <v>157.18</v>
      </c>
      <c r="F56">
        <v>8.2556999999999992</v>
      </c>
      <c r="G56">
        <v>2.7E-2</v>
      </c>
      <c r="H56">
        <f t="shared" si="0"/>
        <v>9.0388830474516499E-2</v>
      </c>
      <c r="I56">
        <f t="shared" si="1"/>
        <v>8.2223024330022015E-2</v>
      </c>
      <c r="J56">
        <f t="shared" si="2"/>
        <v>15.609999999999985</v>
      </c>
    </row>
    <row r="57" spans="1:10" x14ac:dyDescent="0.25">
      <c r="A57" t="s">
        <v>11</v>
      </c>
      <c r="B57">
        <v>65</v>
      </c>
      <c r="C57">
        <v>1911.63</v>
      </c>
      <c r="D57">
        <v>186.25</v>
      </c>
      <c r="E57">
        <v>169.39</v>
      </c>
      <c r="F57">
        <v>8.2940000000000005</v>
      </c>
      <c r="G57">
        <v>2.9100000000000001E-2</v>
      </c>
      <c r="H57">
        <f t="shared" si="0"/>
        <v>9.742994198668152E-2</v>
      </c>
      <c r="I57">
        <f t="shared" si="1"/>
        <v>8.8610243614088494E-2</v>
      </c>
      <c r="J57">
        <f t="shared" si="2"/>
        <v>16.860000000000014</v>
      </c>
    </row>
    <row r="58" spans="1:10" x14ac:dyDescent="0.25">
      <c r="A58" t="s">
        <v>11</v>
      </c>
      <c r="B58">
        <v>70</v>
      </c>
      <c r="C58">
        <v>1911.63</v>
      </c>
      <c r="D58">
        <v>202.7</v>
      </c>
      <c r="E58">
        <v>184.4</v>
      </c>
      <c r="F58">
        <v>8.3571000000000009</v>
      </c>
      <c r="G58">
        <v>3.0700000000000002E-2</v>
      </c>
      <c r="H58">
        <f t="shared" si="0"/>
        <v>0.10603516370845821</v>
      </c>
      <c r="I58">
        <f t="shared" si="1"/>
        <v>9.6462181489095689E-2</v>
      </c>
      <c r="J58">
        <f t="shared" si="2"/>
        <v>18.299999999999983</v>
      </c>
    </row>
    <row r="59" spans="1:10" x14ac:dyDescent="0.25">
      <c r="A59" t="s">
        <v>11</v>
      </c>
      <c r="B59">
        <v>75</v>
      </c>
      <c r="C59">
        <v>1911.63</v>
      </c>
      <c r="D59">
        <v>221.25</v>
      </c>
      <c r="E59">
        <v>201.78</v>
      </c>
      <c r="F59">
        <v>8.4266000000000005</v>
      </c>
      <c r="G59">
        <v>2.8000000000000001E-2</v>
      </c>
      <c r="H59">
        <f t="shared" si="0"/>
        <v>0.11573892437344047</v>
      </c>
      <c r="I59">
        <f t="shared" si="1"/>
        <v>0.1055538990285777</v>
      </c>
      <c r="J59">
        <f t="shared" si="2"/>
        <v>19.47</v>
      </c>
    </row>
    <row r="60" spans="1:10" x14ac:dyDescent="0.25">
      <c r="A60" t="s">
        <v>11</v>
      </c>
      <c r="B60">
        <v>80</v>
      </c>
      <c r="C60">
        <v>1911.63</v>
      </c>
      <c r="D60">
        <v>250.31</v>
      </c>
      <c r="E60">
        <v>229.03</v>
      </c>
      <c r="F60">
        <v>8.6485000000000003</v>
      </c>
      <c r="G60">
        <v>3.2000000000000001E-2</v>
      </c>
      <c r="H60">
        <f t="shared" si="0"/>
        <v>0.13094061089227518</v>
      </c>
      <c r="I60">
        <f t="shared" si="1"/>
        <v>0.11980874960112574</v>
      </c>
      <c r="J60">
        <f t="shared" si="2"/>
        <v>21.28</v>
      </c>
    </row>
    <row r="61" spans="1:10" x14ac:dyDescent="0.25">
      <c r="A61" t="s">
        <v>11</v>
      </c>
      <c r="B61">
        <v>85</v>
      </c>
      <c r="C61">
        <v>1911.63</v>
      </c>
      <c r="D61">
        <v>290.05</v>
      </c>
      <c r="E61">
        <v>266.33</v>
      </c>
      <c r="F61">
        <v>8.5966000000000005</v>
      </c>
      <c r="G61">
        <v>3.2000000000000001E-2</v>
      </c>
      <c r="H61">
        <f t="shared" si="0"/>
        <v>0.15172915260798375</v>
      </c>
      <c r="I61">
        <f t="shared" si="1"/>
        <v>0.13932089368758596</v>
      </c>
      <c r="J61">
        <f t="shared" si="2"/>
        <v>23.720000000000027</v>
      </c>
    </row>
    <row r="62" spans="1:10" x14ac:dyDescent="0.25">
      <c r="A62" t="s">
        <v>11</v>
      </c>
      <c r="B62">
        <v>90</v>
      </c>
      <c r="C62">
        <v>1911.63</v>
      </c>
      <c r="D62">
        <v>359.88</v>
      </c>
      <c r="E62">
        <v>330.88</v>
      </c>
      <c r="F62">
        <v>8.7987000000000002</v>
      </c>
      <c r="G62">
        <v>2.9000000000000001E-2</v>
      </c>
      <c r="H62">
        <f t="shared" si="0"/>
        <v>0.18825818803848024</v>
      </c>
      <c r="I62">
        <f t="shared" si="1"/>
        <v>0.17308788834659425</v>
      </c>
      <c r="J62">
        <f t="shared" si="2"/>
        <v>29</v>
      </c>
    </row>
    <row r="63" spans="1:10" x14ac:dyDescent="0.25">
      <c r="A63" t="s">
        <v>11</v>
      </c>
      <c r="B63">
        <v>95</v>
      </c>
      <c r="C63">
        <v>1911.63</v>
      </c>
      <c r="D63">
        <v>506.14</v>
      </c>
      <c r="E63">
        <v>468.31</v>
      </c>
      <c r="F63">
        <v>9.5649999999999995</v>
      </c>
      <c r="G63">
        <v>3.5799999999999998E-2</v>
      </c>
      <c r="H63">
        <f t="shared" si="0"/>
        <v>0.26476880986383344</v>
      </c>
      <c r="I63">
        <f t="shared" si="1"/>
        <v>0.24497941547265945</v>
      </c>
      <c r="J63">
        <f t="shared" si="2"/>
        <v>37.829999999999984</v>
      </c>
    </row>
    <row r="64" spans="1:10" x14ac:dyDescent="0.25">
      <c r="A64" t="s">
        <v>11</v>
      </c>
      <c r="B64">
        <v>100</v>
      </c>
      <c r="C64">
        <v>1911.63</v>
      </c>
      <c r="D64">
        <v>845.84</v>
      </c>
      <c r="E64">
        <v>877.97</v>
      </c>
      <c r="F64">
        <v>10.620100000000001</v>
      </c>
      <c r="G64">
        <v>3.3000000000000002E-2</v>
      </c>
      <c r="H64">
        <f t="shared" si="0"/>
        <v>0.44247056177189098</v>
      </c>
      <c r="I64">
        <f t="shared" si="1"/>
        <v>0.4592782076029357</v>
      </c>
      <c r="J64">
        <f t="shared" si="2"/>
        <v>-32.129999999999995</v>
      </c>
    </row>
    <row r="65" spans="1:10" x14ac:dyDescent="0.25">
      <c r="A65" t="s">
        <v>17</v>
      </c>
      <c r="B65">
        <v>0</v>
      </c>
      <c r="C65">
        <v>14762.3</v>
      </c>
      <c r="D65">
        <v>106.62</v>
      </c>
      <c r="E65">
        <v>97</v>
      </c>
      <c r="F65">
        <v>30.802199999999999</v>
      </c>
      <c r="G65">
        <v>2.5999999999999999E-2</v>
      </c>
      <c r="H65">
        <f t="shared" si="0"/>
        <v>7.2224517859683117E-3</v>
      </c>
      <c r="I65">
        <f t="shared" si="1"/>
        <v>6.5707918142836825E-3</v>
      </c>
      <c r="J65">
        <f t="shared" si="2"/>
        <v>9.6200000000000045</v>
      </c>
    </row>
    <row r="66" spans="1:10" x14ac:dyDescent="0.25">
      <c r="A66" t="s">
        <v>17</v>
      </c>
      <c r="B66">
        <v>5</v>
      </c>
      <c r="C66">
        <v>14762.3</v>
      </c>
      <c r="D66">
        <v>134.97</v>
      </c>
      <c r="E66">
        <v>123.57</v>
      </c>
      <c r="F66">
        <v>30.8644</v>
      </c>
      <c r="G66">
        <v>2.5000000000000001E-2</v>
      </c>
      <c r="H66">
        <f t="shared" si="0"/>
        <v>9.1428842389058625E-3</v>
      </c>
      <c r="I66">
        <f t="shared" si="1"/>
        <v>8.3706468504230365E-3</v>
      </c>
      <c r="J66">
        <f t="shared" si="2"/>
        <v>11.400000000000006</v>
      </c>
    </row>
    <row r="67" spans="1:10" x14ac:dyDescent="0.25">
      <c r="A67" t="s">
        <v>17</v>
      </c>
      <c r="B67">
        <v>10</v>
      </c>
      <c r="C67">
        <v>14762.3</v>
      </c>
      <c r="D67">
        <v>193.03</v>
      </c>
      <c r="E67">
        <v>178.4</v>
      </c>
      <c r="F67">
        <v>31.250599999999999</v>
      </c>
      <c r="G67">
        <v>2.7E-2</v>
      </c>
      <c r="H67">
        <f t="shared" ref="H67:H130" si="3">D67/C67</f>
        <v>1.3075875710424529E-2</v>
      </c>
      <c r="I67">
        <f t="shared" ref="I67:I130" si="4">E67/C67</f>
        <v>1.2084837728538238E-2</v>
      </c>
      <c r="J67">
        <f t="shared" ref="J67:J130" si="5">D67-E67</f>
        <v>14.629999999999995</v>
      </c>
    </row>
    <row r="68" spans="1:10" x14ac:dyDescent="0.25">
      <c r="A68" t="s">
        <v>17</v>
      </c>
      <c r="B68">
        <v>15</v>
      </c>
      <c r="C68">
        <v>14762.3</v>
      </c>
      <c r="D68">
        <v>239.38</v>
      </c>
      <c r="E68">
        <v>221.13</v>
      </c>
      <c r="F68">
        <v>31.272400000000001</v>
      </c>
      <c r="G68">
        <v>2.6499999999999999E-2</v>
      </c>
      <c r="H68">
        <f t="shared" si="3"/>
        <v>1.6215630355703382E-2</v>
      </c>
      <c r="I68">
        <f t="shared" si="4"/>
        <v>1.4979373132912893E-2</v>
      </c>
      <c r="J68">
        <f t="shared" si="5"/>
        <v>18.25</v>
      </c>
    </row>
    <row r="69" spans="1:10" x14ac:dyDescent="0.25">
      <c r="A69" t="s">
        <v>17</v>
      </c>
      <c r="B69">
        <v>20</v>
      </c>
      <c r="C69">
        <v>14762.3</v>
      </c>
      <c r="D69">
        <v>280.44</v>
      </c>
      <c r="E69">
        <v>258.18</v>
      </c>
      <c r="F69">
        <v>31.616099999999999</v>
      </c>
      <c r="G69">
        <v>2.5999999999999999E-2</v>
      </c>
      <c r="H69">
        <f t="shared" si="3"/>
        <v>1.8997039756677485E-2</v>
      </c>
      <c r="I69">
        <f t="shared" si="4"/>
        <v>1.7489144645482072E-2</v>
      </c>
      <c r="J69">
        <f t="shared" si="5"/>
        <v>22.259999999999991</v>
      </c>
    </row>
    <row r="70" spans="1:10" x14ac:dyDescent="0.25">
      <c r="A70" t="s">
        <v>17</v>
      </c>
      <c r="B70">
        <v>25</v>
      </c>
      <c r="C70">
        <v>14762.3</v>
      </c>
      <c r="D70">
        <v>320.19</v>
      </c>
      <c r="E70">
        <v>294.3</v>
      </c>
      <c r="F70">
        <v>31.6783</v>
      </c>
      <c r="G70">
        <v>2.9499999999999998E-2</v>
      </c>
      <c r="H70">
        <f t="shared" si="3"/>
        <v>2.1689709598097857E-2</v>
      </c>
      <c r="I70">
        <f t="shared" si="4"/>
        <v>1.9935917844780288E-2</v>
      </c>
      <c r="J70">
        <f t="shared" si="5"/>
        <v>25.889999999999986</v>
      </c>
    </row>
    <row r="71" spans="1:10" x14ac:dyDescent="0.25">
      <c r="A71" t="s">
        <v>17</v>
      </c>
      <c r="B71">
        <v>30</v>
      </c>
      <c r="C71">
        <v>14762.3</v>
      </c>
      <c r="D71">
        <v>354.61</v>
      </c>
      <c r="E71">
        <v>326.39999999999998</v>
      </c>
      <c r="F71">
        <v>31.9907</v>
      </c>
      <c r="G71">
        <v>2.6499999999999999E-2</v>
      </c>
      <c r="H71">
        <f t="shared" si="3"/>
        <v>2.4021324590341616E-2</v>
      </c>
      <c r="I71">
        <f t="shared" si="4"/>
        <v>2.2110375754455607E-2</v>
      </c>
      <c r="J71">
        <f t="shared" si="5"/>
        <v>28.210000000000036</v>
      </c>
    </row>
    <row r="72" spans="1:10" x14ac:dyDescent="0.25">
      <c r="A72" t="s">
        <v>17</v>
      </c>
      <c r="B72">
        <v>35</v>
      </c>
      <c r="C72">
        <v>14762.3</v>
      </c>
      <c r="D72">
        <v>411.1</v>
      </c>
      <c r="E72">
        <v>379.33</v>
      </c>
      <c r="F72">
        <v>31.8522</v>
      </c>
      <c r="G72">
        <v>2.7300000000000001E-2</v>
      </c>
      <c r="H72">
        <f t="shared" si="3"/>
        <v>2.7847964070639403E-2</v>
      </c>
      <c r="I72">
        <f t="shared" si="4"/>
        <v>2.5695860401157001E-2</v>
      </c>
      <c r="J72">
        <f t="shared" si="5"/>
        <v>31.770000000000039</v>
      </c>
    </row>
    <row r="73" spans="1:10" x14ac:dyDescent="0.25">
      <c r="A73" t="s">
        <v>17</v>
      </c>
      <c r="B73">
        <v>40</v>
      </c>
      <c r="C73">
        <v>14762.3</v>
      </c>
      <c r="D73">
        <v>431.21</v>
      </c>
      <c r="E73">
        <v>396.7</v>
      </c>
      <c r="F73">
        <v>32.120699999999999</v>
      </c>
      <c r="G73">
        <v>2.7E-2</v>
      </c>
      <c r="H73">
        <f t="shared" si="3"/>
        <v>2.9210217919971821E-2</v>
      </c>
      <c r="I73">
        <f t="shared" si="4"/>
        <v>2.6872506316766357E-2</v>
      </c>
      <c r="J73">
        <f t="shared" si="5"/>
        <v>34.509999999999991</v>
      </c>
    </row>
    <row r="74" spans="1:10" x14ac:dyDescent="0.25">
      <c r="A74" t="s">
        <v>17</v>
      </c>
      <c r="B74">
        <v>45</v>
      </c>
      <c r="C74">
        <v>14762.3</v>
      </c>
      <c r="D74">
        <v>450.81</v>
      </c>
      <c r="E74">
        <v>412</v>
      </c>
      <c r="F74">
        <v>32.093400000000003</v>
      </c>
      <c r="G74">
        <v>2.87E-2</v>
      </c>
      <c r="H74">
        <f t="shared" si="3"/>
        <v>3.0537924307187905E-2</v>
      </c>
      <c r="I74">
        <f t="shared" si="4"/>
        <v>2.7908930180256464E-2</v>
      </c>
      <c r="J74">
        <f t="shared" si="5"/>
        <v>38.81</v>
      </c>
    </row>
    <row r="75" spans="1:10" x14ac:dyDescent="0.25">
      <c r="A75" t="s">
        <v>17</v>
      </c>
      <c r="B75">
        <v>50</v>
      </c>
      <c r="C75">
        <v>14762.3</v>
      </c>
      <c r="D75">
        <v>470.45</v>
      </c>
      <c r="E75">
        <v>428.34</v>
      </c>
      <c r="F75">
        <v>32.279299999999999</v>
      </c>
      <c r="G75">
        <v>3.1E-2</v>
      </c>
      <c r="H75">
        <f t="shared" si="3"/>
        <v>3.1868340299275856E-2</v>
      </c>
      <c r="I75">
        <f t="shared" si="4"/>
        <v>2.9015803770415179E-2</v>
      </c>
      <c r="J75">
        <f t="shared" si="5"/>
        <v>42.110000000000014</v>
      </c>
    </row>
    <row r="76" spans="1:10" x14ac:dyDescent="0.25">
      <c r="A76" t="s">
        <v>17</v>
      </c>
      <c r="B76">
        <v>55</v>
      </c>
      <c r="C76">
        <v>14762.3</v>
      </c>
      <c r="D76">
        <v>495.07</v>
      </c>
      <c r="E76">
        <v>451.68</v>
      </c>
      <c r="F76">
        <v>32.17</v>
      </c>
      <c r="G76">
        <v>2.5999999999999999E-2</v>
      </c>
      <c r="H76">
        <f t="shared" si="3"/>
        <v>3.3536102097911573E-2</v>
      </c>
      <c r="I76">
        <f t="shared" si="4"/>
        <v>3.0596858213151071E-2</v>
      </c>
      <c r="J76">
        <f t="shared" si="5"/>
        <v>43.389999999999986</v>
      </c>
    </row>
    <row r="77" spans="1:10" x14ac:dyDescent="0.25">
      <c r="A77" t="s">
        <v>17</v>
      </c>
      <c r="B77">
        <v>60</v>
      </c>
      <c r="C77">
        <v>14762.3</v>
      </c>
      <c r="D77">
        <v>654.36</v>
      </c>
      <c r="E77">
        <v>614.88</v>
      </c>
      <c r="F77">
        <v>32.809699999999999</v>
      </c>
      <c r="G77">
        <v>3.1600000000000003E-2</v>
      </c>
      <c r="H77">
        <f t="shared" si="3"/>
        <v>4.4326426098914129E-2</v>
      </c>
      <c r="I77">
        <f t="shared" si="4"/>
        <v>4.1652046090378869E-2</v>
      </c>
      <c r="J77">
        <f t="shared" si="5"/>
        <v>39.480000000000018</v>
      </c>
    </row>
    <row r="78" spans="1:10" x14ac:dyDescent="0.25">
      <c r="A78" t="s">
        <v>17</v>
      </c>
      <c r="B78">
        <v>65</v>
      </c>
      <c r="C78">
        <v>14762.3</v>
      </c>
      <c r="D78">
        <v>773.47</v>
      </c>
      <c r="E78">
        <v>720.99</v>
      </c>
      <c r="F78">
        <v>33.177199999999999</v>
      </c>
      <c r="G78">
        <v>2.8000000000000001E-2</v>
      </c>
      <c r="H78">
        <f t="shared" si="3"/>
        <v>5.2394952006123714E-2</v>
      </c>
      <c r="I78">
        <f t="shared" si="4"/>
        <v>4.8839950414230851E-2</v>
      </c>
      <c r="J78">
        <f t="shared" si="5"/>
        <v>52.480000000000018</v>
      </c>
    </row>
    <row r="79" spans="1:10" x14ac:dyDescent="0.25">
      <c r="A79" t="s">
        <v>17</v>
      </c>
      <c r="B79">
        <v>70</v>
      </c>
      <c r="C79">
        <v>14762.3</v>
      </c>
      <c r="D79">
        <v>817.89</v>
      </c>
      <c r="E79">
        <v>759.79</v>
      </c>
      <c r="F79">
        <v>33.471699999999998</v>
      </c>
      <c r="G79">
        <v>3.1E-2</v>
      </c>
      <c r="H79">
        <f t="shared" si="3"/>
        <v>5.5403968216334858E-2</v>
      </c>
      <c r="I79">
        <f t="shared" si="4"/>
        <v>5.1468267139944318E-2</v>
      </c>
      <c r="J79">
        <f t="shared" si="5"/>
        <v>58.100000000000023</v>
      </c>
    </row>
    <row r="80" spans="1:10" x14ac:dyDescent="0.25">
      <c r="A80" t="s">
        <v>17</v>
      </c>
      <c r="B80">
        <v>75</v>
      </c>
      <c r="C80">
        <v>14762.3</v>
      </c>
      <c r="D80">
        <v>869.21</v>
      </c>
      <c r="E80">
        <v>803.81</v>
      </c>
      <c r="F80">
        <v>33.603999999999999</v>
      </c>
      <c r="G80">
        <v>3.3500000000000002E-2</v>
      </c>
      <c r="H80">
        <f t="shared" si="3"/>
        <v>5.8880391266943506E-2</v>
      </c>
      <c r="I80">
        <f t="shared" si="4"/>
        <v>5.4450187301436768E-2</v>
      </c>
      <c r="J80">
        <f t="shared" si="5"/>
        <v>65.400000000000091</v>
      </c>
    </row>
    <row r="81" spans="1:10" x14ac:dyDescent="0.25">
      <c r="A81" t="s">
        <v>17</v>
      </c>
      <c r="B81">
        <v>80</v>
      </c>
      <c r="C81">
        <v>14762.3</v>
      </c>
      <c r="D81">
        <v>926.88</v>
      </c>
      <c r="E81">
        <v>855.83</v>
      </c>
      <c r="F81">
        <v>33.498399999999997</v>
      </c>
      <c r="G81">
        <v>3.4000000000000002E-2</v>
      </c>
      <c r="H81">
        <f t="shared" si="3"/>
        <v>6.2786964090961433E-2</v>
      </c>
      <c r="I81">
        <f t="shared" si="4"/>
        <v>5.7974028437303135E-2</v>
      </c>
      <c r="J81">
        <f t="shared" si="5"/>
        <v>71.049999999999955</v>
      </c>
    </row>
    <row r="82" spans="1:10" x14ac:dyDescent="0.25">
      <c r="A82" t="s">
        <v>17</v>
      </c>
      <c r="B82">
        <v>85</v>
      </c>
      <c r="C82">
        <v>14762.3</v>
      </c>
      <c r="D82">
        <v>1006</v>
      </c>
      <c r="E82">
        <v>935.07</v>
      </c>
      <c r="F82">
        <v>34.1571</v>
      </c>
      <c r="G82">
        <v>3.4700000000000002E-2</v>
      </c>
      <c r="H82">
        <f t="shared" si="3"/>
        <v>6.8146562527519425E-2</v>
      </c>
      <c r="I82">
        <f t="shared" si="4"/>
        <v>6.3341755688476734E-2</v>
      </c>
      <c r="J82">
        <f t="shared" si="5"/>
        <v>70.92999999999995</v>
      </c>
    </row>
    <row r="83" spans="1:10" x14ac:dyDescent="0.25">
      <c r="A83" t="s">
        <v>17</v>
      </c>
      <c r="B83">
        <v>90</v>
      </c>
      <c r="C83">
        <v>14762.3</v>
      </c>
      <c r="D83">
        <v>1280.48</v>
      </c>
      <c r="E83">
        <v>1201.25</v>
      </c>
      <c r="F83">
        <v>34.042200000000001</v>
      </c>
      <c r="G83">
        <v>3.3000000000000002E-2</v>
      </c>
      <c r="H83">
        <f t="shared" si="3"/>
        <v>8.6739871158288351E-2</v>
      </c>
      <c r="I83">
        <f t="shared" si="4"/>
        <v>8.1372821308332718E-2</v>
      </c>
      <c r="J83">
        <f t="shared" si="5"/>
        <v>79.230000000000018</v>
      </c>
    </row>
    <row r="84" spans="1:10" x14ac:dyDescent="0.25">
      <c r="A84" t="s">
        <v>17</v>
      </c>
      <c r="B84">
        <v>95</v>
      </c>
      <c r="C84">
        <v>14762.3</v>
      </c>
      <c r="D84">
        <v>1711.77</v>
      </c>
      <c r="E84">
        <v>1583.61</v>
      </c>
      <c r="F84">
        <v>34.360900000000001</v>
      </c>
      <c r="G84">
        <v>3.2000000000000001E-2</v>
      </c>
      <c r="H84">
        <f t="shared" si="3"/>
        <v>0.11595550828800391</v>
      </c>
      <c r="I84">
        <f t="shared" si="4"/>
        <v>0.10727393427853384</v>
      </c>
      <c r="J84">
        <f t="shared" si="5"/>
        <v>128.16000000000008</v>
      </c>
    </row>
    <row r="85" spans="1:10" x14ac:dyDescent="0.25">
      <c r="A85" t="s">
        <v>17</v>
      </c>
      <c r="B85">
        <v>100</v>
      </c>
      <c r="C85">
        <v>14762.3</v>
      </c>
      <c r="D85">
        <v>2640.3</v>
      </c>
      <c r="E85">
        <v>2812.44</v>
      </c>
      <c r="F85">
        <v>37.623399999999997</v>
      </c>
      <c r="G85">
        <v>3.6999999999999998E-2</v>
      </c>
      <c r="H85">
        <f t="shared" si="3"/>
        <v>0.17885424357992999</v>
      </c>
      <c r="I85">
        <f t="shared" si="4"/>
        <v>0.19051502814602062</v>
      </c>
      <c r="J85">
        <f t="shared" si="5"/>
        <v>-172.13999999999987</v>
      </c>
    </row>
    <row r="86" spans="1:10" x14ac:dyDescent="0.25">
      <c r="A86" t="s">
        <v>18</v>
      </c>
      <c r="B86">
        <v>0</v>
      </c>
      <c r="C86">
        <v>14762.3</v>
      </c>
      <c r="D86">
        <v>89.84</v>
      </c>
      <c r="E86">
        <v>80.63</v>
      </c>
      <c r="F86">
        <v>30.718499999999999</v>
      </c>
      <c r="G86">
        <v>2.3699999999999999E-2</v>
      </c>
      <c r="H86">
        <f t="shared" si="3"/>
        <v>6.0857725422190315E-3</v>
      </c>
      <c r="I86">
        <f t="shared" si="4"/>
        <v>5.4618860204710649E-3</v>
      </c>
      <c r="J86">
        <f t="shared" si="5"/>
        <v>9.210000000000008</v>
      </c>
    </row>
    <row r="87" spans="1:10" x14ac:dyDescent="0.25">
      <c r="A87" t="s">
        <v>18</v>
      </c>
      <c r="B87">
        <v>5</v>
      </c>
      <c r="C87">
        <v>14762.3</v>
      </c>
      <c r="D87">
        <v>93.56</v>
      </c>
      <c r="E87">
        <v>83.7</v>
      </c>
      <c r="F87">
        <v>30.7957</v>
      </c>
      <c r="G87">
        <v>2.5000000000000001E-2</v>
      </c>
      <c r="H87">
        <f t="shared" si="3"/>
        <v>6.3377657953029003E-3</v>
      </c>
      <c r="I87">
        <f t="shared" si="4"/>
        <v>5.6698481943870541E-3</v>
      </c>
      <c r="J87">
        <f t="shared" si="5"/>
        <v>9.86</v>
      </c>
    </row>
    <row r="88" spans="1:10" x14ac:dyDescent="0.25">
      <c r="A88" t="s">
        <v>18</v>
      </c>
      <c r="B88">
        <v>10</v>
      </c>
      <c r="C88">
        <v>14762.3</v>
      </c>
      <c r="D88">
        <v>101.23</v>
      </c>
      <c r="E88">
        <v>90.95</v>
      </c>
      <c r="F88">
        <v>30.8474</v>
      </c>
      <c r="G88">
        <v>2.1999999999999999E-2</v>
      </c>
      <c r="H88">
        <f t="shared" si="3"/>
        <v>6.8573325294838889E-3</v>
      </c>
      <c r="I88">
        <f t="shared" si="4"/>
        <v>6.1609640774134113E-3</v>
      </c>
      <c r="J88">
        <f t="shared" si="5"/>
        <v>10.280000000000001</v>
      </c>
    </row>
    <row r="89" spans="1:10" x14ac:dyDescent="0.25">
      <c r="A89" t="s">
        <v>18</v>
      </c>
      <c r="B89">
        <v>15</v>
      </c>
      <c r="C89">
        <v>14762.3</v>
      </c>
      <c r="D89">
        <v>109.58</v>
      </c>
      <c r="E89">
        <v>97.94</v>
      </c>
      <c r="F89">
        <v>31.112100000000002</v>
      </c>
      <c r="G89">
        <v>3.15E-2</v>
      </c>
      <c r="H89">
        <f t="shared" si="3"/>
        <v>7.4229625464866588E-3</v>
      </c>
      <c r="I89">
        <f t="shared" si="4"/>
        <v>6.6344675287726166E-3</v>
      </c>
      <c r="J89">
        <f t="shared" si="5"/>
        <v>11.64</v>
      </c>
    </row>
    <row r="90" spans="1:10" x14ac:dyDescent="0.25">
      <c r="A90" t="s">
        <v>18</v>
      </c>
      <c r="B90">
        <v>20</v>
      </c>
      <c r="C90">
        <v>14762.3</v>
      </c>
      <c r="D90">
        <v>119.55</v>
      </c>
      <c r="E90">
        <v>107.17</v>
      </c>
      <c r="F90">
        <v>31.0642</v>
      </c>
      <c r="G90">
        <v>2.5999999999999999E-2</v>
      </c>
      <c r="H90">
        <f t="shared" si="3"/>
        <v>8.0983315608001462E-3</v>
      </c>
      <c r="I90">
        <f t="shared" si="4"/>
        <v>7.259708852956518E-3</v>
      </c>
      <c r="J90">
        <f t="shared" si="5"/>
        <v>12.379999999999995</v>
      </c>
    </row>
    <row r="91" spans="1:10" x14ac:dyDescent="0.25">
      <c r="A91" t="s">
        <v>18</v>
      </c>
      <c r="B91">
        <v>25</v>
      </c>
      <c r="C91">
        <v>14762.3</v>
      </c>
      <c r="D91">
        <v>130.86000000000001</v>
      </c>
      <c r="E91">
        <v>116.69</v>
      </c>
      <c r="F91">
        <v>31.008500000000002</v>
      </c>
      <c r="G91">
        <v>2.5000000000000001E-2</v>
      </c>
      <c r="H91">
        <f t="shared" si="3"/>
        <v>8.8644723383212651E-3</v>
      </c>
      <c r="I91">
        <f t="shared" si="4"/>
        <v>7.9045948124614723E-3</v>
      </c>
      <c r="J91">
        <f t="shared" si="5"/>
        <v>14.170000000000016</v>
      </c>
    </row>
    <row r="92" spans="1:10" x14ac:dyDescent="0.25">
      <c r="A92" t="s">
        <v>18</v>
      </c>
      <c r="B92">
        <v>30</v>
      </c>
      <c r="C92">
        <v>14762.3</v>
      </c>
      <c r="D92">
        <v>151.05000000000001</v>
      </c>
      <c r="E92">
        <v>136.57</v>
      </c>
      <c r="F92">
        <v>30.995200000000001</v>
      </c>
      <c r="G92">
        <v>2.4E-2</v>
      </c>
      <c r="H92">
        <f t="shared" si="3"/>
        <v>1.0232145397397426E-2</v>
      </c>
      <c r="I92">
        <f t="shared" si="4"/>
        <v>9.2512684337806433E-3</v>
      </c>
      <c r="J92">
        <f t="shared" si="5"/>
        <v>14.480000000000018</v>
      </c>
    </row>
    <row r="93" spans="1:10" x14ac:dyDescent="0.25">
      <c r="A93" t="s">
        <v>18</v>
      </c>
      <c r="B93">
        <v>35</v>
      </c>
      <c r="C93">
        <v>14762.3</v>
      </c>
      <c r="D93">
        <v>185.39</v>
      </c>
      <c r="E93">
        <v>169.46</v>
      </c>
      <c r="F93">
        <v>31.195599999999999</v>
      </c>
      <c r="G93">
        <v>2.5999999999999999E-2</v>
      </c>
      <c r="H93">
        <f t="shared" si="3"/>
        <v>1.2558341179897441E-2</v>
      </c>
      <c r="I93">
        <f t="shared" si="4"/>
        <v>1.1479241039675391E-2</v>
      </c>
      <c r="J93">
        <f t="shared" si="5"/>
        <v>15.929999999999978</v>
      </c>
    </row>
    <row r="94" spans="1:10" x14ac:dyDescent="0.25">
      <c r="A94" t="s">
        <v>18</v>
      </c>
      <c r="B94">
        <v>40</v>
      </c>
      <c r="C94">
        <v>14762.3</v>
      </c>
      <c r="D94">
        <v>192.33</v>
      </c>
      <c r="E94">
        <v>174.5</v>
      </c>
      <c r="F94">
        <v>31.1447</v>
      </c>
      <c r="G94">
        <v>2.3E-2</v>
      </c>
      <c r="H94">
        <f t="shared" si="3"/>
        <v>1.3028457625166811E-2</v>
      </c>
      <c r="I94">
        <f t="shared" si="4"/>
        <v>1.1820651253530955E-2</v>
      </c>
      <c r="J94">
        <f t="shared" si="5"/>
        <v>17.830000000000013</v>
      </c>
    </row>
    <row r="95" spans="1:10" x14ac:dyDescent="0.25">
      <c r="A95" t="s">
        <v>18</v>
      </c>
      <c r="B95">
        <v>45</v>
      </c>
      <c r="C95">
        <v>14762.3</v>
      </c>
      <c r="D95">
        <v>198.28</v>
      </c>
      <c r="E95">
        <v>177.78</v>
      </c>
      <c r="F95">
        <v>31.1813</v>
      </c>
      <c r="G95">
        <v>2.8000000000000001E-2</v>
      </c>
      <c r="H95">
        <f t="shared" si="3"/>
        <v>1.3431511349857407E-2</v>
      </c>
      <c r="I95">
        <f t="shared" si="4"/>
        <v>1.2042838853024259E-2</v>
      </c>
      <c r="J95">
        <f t="shared" si="5"/>
        <v>20.5</v>
      </c>
    </row>
    <row r="96" spans="1:10" x14ac:dyDescent="0.25">
      <c r="A96" t="s">
        <v>18</v>
      </c>
      <c r="B96">
        <v>50</v>
      </c>
      <c r="C96">
        <v>14762.3</v>
      </c>
      <c r="D96">
        <v>204.26</v>
      </c>
      <c r="E96">
        <v>181.53</v>
      </c>
      <c r="F96">
        <v>31.181999999999999</v>
      </c>
      <c r="G96">
        <v>3.6299999999999999E-2</v>
      </c>
      <c r="H96">
        <f t="shared" si="3"/>
        <v>1.3836597278201907E-2</v>
      </c>
      <c r="I96">
        <f t="shared" si="4"/>
        <v>1.229686430976203E-2</v>
      </c>
      <c r="J96">
        <f t="shared" si="5"/>
        <v>22.72999999999999</v>
      </c>
    </row>
    <row r="97" spans="1:10" x14ac:dyDescent="0.25">
      <c r="A97" t="s">
        <v>18</v>
      </c>
      <c r="B97">
        <v>55</v>
      </c>
      <c r="C97">
        <v>14762.3</v>
      </c>
      <c r="D97">
        <v>218.52</v>
      </c>
      <c r="E97">
        <v>197.41</v>
      </c>
      <c r="F97">
        <v>31.254799999999999</v>
      </c>
      <c r="G97">
        <v>2.9100000000000001E-2</v>
      </c>
      <c r="H97">
        <f t="shared" si="3"/>
        <v>1.4802571415023405E-2</v>
      </c>
      <c r="I97">
        <f t="shared" si="4"/>
        <v>1.3372577443894244E-2</v>
      </c>
      <c r="J97">
        <f t="shared" si="5"/>
        <v>21.110000000000014</v>
      </c>
    </row>
    <row r="98" spans="1:10" x14ac:dyDescent="0.25">
      <c r="A98" t="s">
        <v>18</v>
      </c>
      <c r="B98">
        <v>60</v>
      </c>
      <c r="C98">
        <v>14762.3</v>
      </c>
      <c r="D98">
        <v>424.65</v>
      </c>
      <c r="E98">
        <v>411.47</v>
      </c>
      <c r="F98">
        <v>32.187399999999997</v>
      </c>
      <c r="G98">
        <v>3.1600000000000003E-2</v>
      </c>
      <c r="H98">
        <f t="shared" si="3"/>
        <v>2.8765842720985212E-2</v>
      </c>
      <c r="I98">
        <f t="shared" si="4"/>
        <v>2.7873027915704195E-2</v>
      </c>
      <c r="J98">
        <f t="shared" si="5"/>
        <v>13.17999999999995</v>
      </c>
    </row>
    <row r="99" spans="1:10" x14ac:dyDescent="0.25">
      <c r="A99" t="s">
        <v>18</v>
      </c>
      <c r="B99">
        <v>65</v>
      </c>
      <c r="C99">
        <v>14762.3</v>
      </c>
      <c r="D99">
        <v>523.47</v>
      </c>
      <c r="E99">
        <v>496.21</v>
      </c>
      <c r="F99">
        <v>32.413600000000002</v>
      </c>
      <c r="G99">
        <v>3.2000000000000001E-2</v>
      </c>
      <c r="H99">
        <f t="shared" si="3"/>
        <v>3.5459921556938966E-2</v>
      </c>
      <c r="I99">
        <f t="shared" si="4"/>
        <v>3.3613325836759855E-2</v>
      </c>
      <c r="J99">
        <f t="shared" si="5"/>
        <v>27.260000000000048</v>
      </c>
    </row>
    <row r="100" spans="1:10" x14ac:dyDescent="0.25">
      <c r="A100" t="s">
        <v>18</v>
      </c>
      <c r="B100">
        <v>70</v>
      </c>
      <c r="C100">
        <v>14762.3</v>
      </c>
      <c r="D100">
        <v>540.89</v>
      </c>
      <c r="E100">
        <v>507.11</v>
      </c>
      <c r="F100">
        <v>32.639699999999998</v>
      </c>
      <c r="G100">
        <v>3.2500000000000001E-2</v>
      </c>
      <c r="H100">
        <f t="shared" si="3"/>
        <v>3.6639954478638152E-2</v>
      </c>
      <c r="I100">
        <f t="shared" si="4"/>
        <v>3.4351693164344312E-2</v>
      </c>
      <c r="J100">
        <f t="shared" si="5"/>
        <v>33.779999999999973</v>
      </c>
    </row>
    <row r="101" spans="1:10" x14ac:dyDescent="0.25">
      <c r="A101" t="s">
        <v>18</v>
      </c>
      <c r="B101">
        <v>75</v>
      </c>
      <c r="C101">
        <v>14762.3</v>
      </c>
      <c r="D101">
        <v>569.67999999999995</v>
      </c>
      <c r="E101">
        <v>526.52</v>
      </c>
      <c r="F101">
        <v>32.444800000000001</v>
      </c>
      <c r="G101">
        <v>4.1099999999999998E-2</v>
      </c>
      <c r="H101">
        <f t="shared" si="3"/>
        <v>3.8590192585166265E-2</v>
      </c>
      <c r="I101">
        <f t="shared" si="4"/>
        <v>3.5666528928419011E-2</v>
      </c>
      <c r="J101">
        <f t="shared" si="5"/>
        <v>43.159999999999968</v>
      </c>
    </row>
    <row r="102" spans="1:10" x14ac:dyDescent="0.25">
      <c r="A102" t="s">
        <v>18</v>
      </c>
      <c r="B102">
        <v>80</v>
      </c>
      <c r="C102">
        <v>14762.3</v>
      </c>
      <c r="D102">
        <v>593.29999999999995</v>
      </c>
      <c r="E102">
        <v>547.5</v>
      </c>
      <c r="F102">
        <v>32.733499999999999</v>
      </c>
      <c r="G102">
        <v>3.3000000000000002E-2</v>
      </c>
      <c r="H102">
        <f t="shared" si="3"/>
        <v>4.0190214262005239E-2</v>
      </c>
      <c r="I102">
        <f t="shared" si="4"/>
        <v>3.7087716683714599E-2</v>
      </c>
      <c r="J102">
        <f t="shared" si="5"/>
        <v>45.799999999999955</v>
      </c>
    </row>
    <row r="103" spans="1:10" x14ac:dyDescent="0.25">
      <c r="A103" t="s">
        <v>18</v>
      </c>
      <c r="B103">
        <v>85</v>
      </c>
      <c r="C103">
        <v>14762.3</v>
      </c>
      <c r="D103">
        <v>629.44000000000005</v>
      </c>
      <c r="E103">
        <v>590.63</v>
      </c>
      <c r="F103">
        <v>32.623699999999999</v>
      </c>
      <c r="G103">
        <v>3.3000000000000002E-2</v>
      </c>
      <c r="H103">
        <f t="shared" si="3"/>
        <v>4.2638342263739394E-2</v>
      </c>
      <c r="I103">
        <f t="shared" si="4"/>
        <v>4.0009348136807954E-2</v>
      </c>
      <c r="J103">
        <f t="shared" si="5"/>
        <v>38.810000000000059</v>
      </c>
    </row>
    <row r="104" spans="1:10" x14ac:dyDescent="0.25">
      <c r="A104" t="s">
        <v>18</v>
      </c>
      <c r="B104">
        <v>90</v>
      </c>
      <c r="C104">
        <v>14762.3</v>
      </c>
      <c r="D104">
        <v>844.01</v>
      </c>
      <c r="E104">
        <v>798.17</v>
      </c>
      <c r="F104">
        <v>33.039700000000003</v>
      </c>
      <c r="G104">
        <v>2.9899999999999999E-2</v>
      </c>
      <c r="H104">
        <f t="shared" si="3"/>
        <v>5.7173340197665679E-2</v>
      </c>
      <c r="I104">
        <f t="shared" si="4"/>
        <v>5.406813301450316E-2</v>
      </c>
      <c r="J104">
        <f t="shared" si="5"/>
        <v>45.840000000000032</v>
      </c>
    </row>
    <row r="105" spans="1:10" x14ac:dyDescent="0.25">
      <c r="A105" t="s">
        <v>18</v>
      </c>
      <c r="B105">
        <v>95</v>
      </c>
      <c r="C105">
        <v>14762.3</v>
      </c>
      <c r="D105">
        <v>1143.49</v>
      </c>
      <c r="E105">
        <v>1053.76</v>
      </c>
      <c r="F105">
        <v>33.190899999999999</v>
      </c>
      <c r="G105">
        <v>3.3000000000000002E-2</v>
      </c>
      <c r="H105">
        <f t="shared" si="3"/>
        <v>7.7460151873353075E-2</v>
      </c>
      <c r="I105">
        <f t="shared" si="4"/>
        <v>7.138183074453168E-2</v>
      </c>
      <c r="J105">
        <f t="shared" si="5"/>
        <v>89.730000000000018</v>
      </c>
    </row>
    <row r="106" spans="1:10" x14ac:dyDescent="0.25">
      <c r="A106" t="s">
        <v>18</v>
      </c>
      <c r="B106">
        <v>100</v>
      </c>
      <c r="C106">
        <v>14762.3</v>
      </c>
      <c r="D106">
        <v>1803.15</v>
      </c>
      <c r="E106">
        <v>1976.48</v>
      </c>
      <c r="F106">
        <v>35.4377</v>
      </c>
      <c r="G106">
        <v>3.4000000000000002E-2</v>
      </c>
      <c r="H106">
        <f t="shared" si="3"/>
        <v>0.12214560061778992</v>
      </c>
      <c r="I106">
        <f t="shared" si="4"/>
        <v>0.1338869959288187</v>
      </c>
      <c r="J106">
        <f t="shared" si="5"/>
        <v>-173.32999999999993</v>
      </c>
    </row>
    <row r="107" spans="1:10" x14ac:dyDescent="0.25">
      <c r="A107" t="s">
        <v>8</v>
      </c>
      <c r="B107">
        <v>0</v>
      </c>
      <c r="C107">
        <v>398.17</v>
      </c>
      <c r="D107">
        <v>8.2899999999999991</v>
      </c>
      <c r="E107">
        <v>7.5</v>
      </c>
      <c r="F107">
        <v>1.9756</v>
      </c>
      <c r="G107">
        <v>6.0000000000000001E-3</v>
      </c>
      <c r="H107">
        <f t="shared" si="3"/>
        <v>2.0820252655900744E-2</v>
      </c>
      <c r="I107">
        <f t="shared" si="4"/>
        <v>1.8836175502925885E-2</v>
      </c>
      <c r="J107">
        <f t="shared" si="5"/>
        <v>0.78999999999999915</v>
      </c>
    </row>
    <row r="108" spans="1:10" x14ac:dyDescent="0.25">
      <c r="A108" t="s">
        <v>8</v>
      </c>
      <c r="B108">
        <v>5</v>
      </c>
      <c r="C108">
        <v>398.17</v>
      </c>
      <c r="D108">
        <v>9.67</v>
      </c>
      <c r="E108">
        <v>8.7899999999999991</v>
      </c>
      <c r="F108">
        <v>1.9911000000000001</v>
      </c>
      <c r="G108">
        <v>0.01</v>
      </c>
      <c r="H108">
        <f t="shared" si="3"/>
        <v>2.4286108948439109E-2</v>
      </c>
      <c r="I108">
        <f t="shared" si="4"/>
        <v>2.2075997689429135E-2</v>
      </c>
      <c r="J108">
        <f t="shared" si="5"/>
        <v>0.88000000000000078</v>
      </c>
    </row>
    <row r="109" spans="1:10" x14ac:dyDescent="0.25">
      <c r="A109" t="s">
        <v>8</v>
      </c>
      <c r="B109">
        <v>10</v>
      </c>
      <c r="C109">
        <v>398.17</v>
      </c>
      <c r="D109">
        <v>14.07</v>
      </c>
      <c r="E109">
        <v>12.67</v>
      </c>
      <c r="F109">
        <v>2.0276999999999998</v>
      </c>
      <c r="G109">
        <v>7.0000000000000001E-3</v>
      </c>
      <c r="H109">
        <f t="shared" si="3"/>
        <v>3.5336665243488961E-2</v>
      </c>
      <c r="I109">
        <f t="shared" si="4"/>
        <v>3.1820579149609458E-2</v>
      </c>
      <c r="J109">
        <f t="shared" si="5"/>
        <v>1.4000000000000004</v>
      </c>
    </row>
    <row r="110" spans="1:10" x14ac:dyDescent="0.25">
      <c r="A110" t="s">
        <v>8</v>
      </c>
      <c r="B110">
        <v>15</v>
      </c>
      <c r="C110">
        <v>398.17</v>
      </c>
      <c r="D110">
        <v>17.93</v>
      </c>
      <c r="E110">
        <v>16.41</v>
      </c>
      <c r="F110">
        <v>2.0207999999999999</v>
      </c>
      <c r="G110">
        <v>8.9999999999999993E-3</v>
      </c>
      <c r="H110">
        <f t="shared" si="3"/>
        <v>4.503101690232815E-2</v>
      </c>
      <c r="I110">
        <f t="shared" si="4"/>
        <v>4.1213552000401839E-2</v>
      </c>
      <c r="J110">
        <f t="shared" si="5"/>
        <v>1.5199999999999996</v>
      </c>
    </row>
    <row r="111" spans="1:10" x14ac:dyDescent="0.25">
      <c r="A111" t="s">
        <v>8</v>
      </c>
      <c r="B111">
        <v>20</v>
      </c>
      <c r="C111">
        <v>398.17</v>
      </c>
      <c r="D111">
        <v>21.81</v>
      </c>
      <c r="E111">
        <v>19.899999999999999</v>
      </c>
      <c r="F111">
        <v>2.0268000000000002</v>
      </c>
      <c r="G111">
        <v>8.0000000000000002E-3</v>
      </c>
      <c r="H111">
        <f t="shared" si="3"/>
        <v>5.4775598362508469E-2</v>
      </c>
      <c r="I111">
        <f t="shared" si="4"/>
        <v>4.997865233443001E-2</v>
      </c>
      <c r="J111">
        <f t="shared" si="5"/>
        <v>1.9100000000000001</v>
      </c>
    </row>
    <row r="112" spans="1:10" x14ac:dyDescent="0.25">
      <c r="A112" t="s">
        <v>8</v>
      </c>
      <c r="B112">
        <v>25</v>
      </c>
      <c r="C112">
        <v>398.17</v>
      </c>
      <c r="D112">
        <v>25.22</v>
      </c>
      <c r="E112">
        <v>23.1</v>
      </c>
      <c r="F112">
        <v>2.3429000000000002</v>
      </c>
      <c r="G112">
        <v>7.0000000000000001E-3</v>
      </c>
      <c r="H112">
        <f t="shared" si="3"/>
        <v>6.3339779491172102E-2</v>
      </c>
      <c r="I112">
        <f t="shared" si="4"/>
        <v>5.801542054901173E-2</v>
      </c>
      <c r="J112">
        <f t="shared" si="5"/>
        <v>2.1199999999999974</v>
      </c>
    </row>
    <row r="113" spans="1:10" x14ac:dyDescent="0.25">
      <c r="A113" t="s">
        <v>8</v>
      </c>
      <c r="B113">
        <v>30</v>
      </c>
      <c r="C113">
        <v>398.17</v>
      </c>
      <c r="D113">
        <v>28.32</v>
      </c>
      <c r="E113">
        <v>25.94</v>
      </c>
      <c r="F113">
        <v>2.2111000000000001</v>
      </c>
      <c r="G113">
        <v>7.0000000000000001E-3</v>
      </c>
      <c r="H113">
        <f t="shared" si="3"/>
        <v>7.1125398699048145E-2</v>
      </c>
      <c r="I113">
        <f t="shared" si="4"/>
        <v>6.5148052339452991E-2</v>
      </c>
      <c r="J113">
        <f t="shared" si="5"/>
        <v>2.379999999999999</v>
      </c>
    </row>
    <row r="114" spans="1:10" x14ac:dyDescent="0.25">
      <c r="A114" t="s">
        <v>8</v>
      </c>
      <c r="B114">
        <v>35</v>
      </c>
      <c r="C114">
        <v>398.17</v>
      </c>
      <c r="D114">
        <v>31.26</v>
      </c>
      <c r="E114">
        <v>28.79</v>
      </c>
      <c r="F114">
        <v>2.0577000000000001</v>
      </c>
      <c r="G114">
        <v>7.0000000000000001E-3</v>
      </c>
      <c r="H114">
        <f t="shared" si="3"/>
        <v>7.8509179496195097E-2</v>
      </c>
      <c r="I114">
        <f t="shared" si="4"/>
        <v>7.2305799030564832E-2</v>
      </c>
      <c r="J114">
        <f t="shared" si="5"/>
        <v>2.4700000000000024</v>
      </c>
    </row>
    <row r="115" spans="1:10" x14ac:dyDescent="0.25">
      <c r="A115" t="s">
        <v>8</v>
      </c>
      <c r="B115">
        <v>40</v>
      </c>
      <c r="C115">
        <v>398.17</v>
      </c>
      <c r="D115">
        <v>33.590000000000003</v>
      </c>
      <c r="E115">
        <v>30.99</v>
      </c>
      <c r="F115">
        <v>2.0526</v>
      </c>
      <c r="G115">
        <v>6.0000000000000001E-3</v>
      </c>
      <c r="H115">
        <f t="shared" si="3"/>
        <v>8.4360951352437402E-2</v>
      </c>
      <c r="I115">
        <f t="shared" si="4"/>
        <v>7.783107717808975E-2</v>
      </c>
      <c r="J115">
        <f t="shared" si="5"/>
        <v>2.600000000000005</v>
      </c>
    </row>
    <row r="116" spans="1:10" x14ac:dyDescent="0.25">
      <c r="A116" t="s">
        <v>8</v>
      </c>
      <c r="B116">
        <v>45</v>
      </c>
      <c r="C116">
        <v>398.17</v>
      </c>
      <c r="D116">
        <v>36.33</v>
      </c>
      <c r="E116">
        <v>33.57</v>
      </c>
      <c r="F116">
        <v>2.0689000000000002</v>
      </c>
      <c r="G116">
        <v>8.0000000000000002E-3</v>
      </c>
      <c r="H116">
        <f t="shared" si="3"/>
        <v>9.1242434136172987E-2</v>
      </c>
      <c r="I116">
        <f t="shared" si="4"/>
        <v>8.4310721551096257E-2</v>
      </c>
      <c r="J116">
        <f t="shared" si="5"/>
        <v>2.759999999999998</v>
      </c>
    </row>
    <row r="117" spans="1:10" x14ac:dyDescent="0.25">
      <c r="A117" t="s">
        <v>8</v>
      </c>
      <c r="B117">
        <v>50</v>
      </c>
      <c r="C117">
        <v>398.17</v>
      </c>
      <c r="D117">
        <v>38.74</v>
      </c>
      <c r="E117">
        <v>35.74</v>
      </c>
      <c r="F117">
        <v>2.1078999999999999</v>
      </c>
      <c r="G117">
        <v>7.0000000000000001E-3</v>
      </c>
      <c r="H117">
        <f t="shared" si="3"/>
        <v>9.7295125197779844E-2</v>
      </c>
      <c r="I117">
        <f t="shared" si="4"/>
        <v>8.9760654996609485E-2</v>
      </c>
      <c r="J117">
        <f t="shared" si="5"/>
        <v>3</v>
      </c>
    </row>
    <row r="118" spans="1:10" x14ac:dyDescent="0.25">
      <c r="A118" t="s">
        <v>8</v>
      </c>
      <c r="B118">
        <v>55</v>
      </c>
      <c r="C118">
        <v>398.17</v>
      </c>
      <c r="D118">
        <v>41.14</v>
      </c>
      <c r="E118">
        <v>38.06</v>
      </c>
      <c r="F118">
        <v>2.0907</v>
      </c>
      <c r="G118">
        <v>0.01</v>
      </c>
      <c r="H118">
        <f t="shared" si="3"/>
        <v>0.10332270135871613</v>
      </c>
      <c r="I118">
        <f t="shared" si="4"/>
        <v>9.5587311952181231E-2</v>
      </c>
      <c r="J118">
        <f t="shared" si="5"/>
        <v>3.0799999999999983</v>
      </c>
    </row>
    <row r="119" spans="1:10" x14ac:dyDescent="0.25">
      <c r="A119" t="s">
        <v>8</v>
      </c>
      <c r="B119">
        <v>60</v>
      </c>
      <c r="C119">
        <v>398.17</v>
      </c>
      <c r="D119">
        <v>44.14</v>
      </c>
      <c r="E119">
        <v>41.02</v>
      </c>
      <c r="F119">
        <v>2.0817000000000001</v>
      </c>
      <c r="G119">
        <v>7.0000000000000001E-3</v>
      </c>
      <c r="H119">
        <f t="shared" si="3"/>
        <v>0.11085717155988647</v>
      </c>
      <c r="I119">
        <f t="shared" si="4"/>
        <v>0.10302132255066931</v>
      </c>
      <c r="J119">
        <f t="shared" si="5"/>
        <v>3.1199999999999974</v>
      </c>
    </row>
    <row r="120" spans="1:10" x14ac:dyDescent="0.25">
      <c r="A120" t="s">
        <v>8</v>
      </c>
      <c r="B120">
        <v>65</v>
      </c>
      <c r="C120">
        <v>398.17</v>
      </c>
      <c r="D120">
        <v>47.93</v>
      </c>
      <c r="E120">
        <v>44.51</v>
      </c>
      <c r="F120">
        <v>2.0762999999999998</v>
      </c>
      <c r="G120">
        <v>8.0000000000000002E-3</v>
      </c>
      <c r="H120">
        <f t="shared" si="3"/>
        <v>0.12037571891403169</v>
      </c>
      <c r="I120">
        <f t="shared" si="4"/>
        <v>0.11178642288469748</v>
      </c>
      <c r="J120">
        <f t="shared" si="5"/>
        <v>3.4200000000000017</v>
      </c>
    </row>
    <row r="121" spans="1:10" x14ac:dyDescent="0.25">
      <c r="A121" t="s">
        <v>8</v>
      </c>
      <c r="B121">
        <v>70</v>
      </c>
      <c r="C121">
        <v>398.17</v>
      </c>
      <c r="D121">
        <v>52.13</v>
      </c>
      <c r="E121">
        <v>48.73</v>
      </c>
      <c r="F121">
        <v>2.0844999999999998</v>
      </c>
      <c r="G121">
        <v>8.0000000000000002E-3</v>
      </c>
      <c r="H121">
        <f t="shared" si="3"/>
        <v>0.1309239771956702</v>
      </c>
      <c r="I121">
        <f t="shared" si="4"/>
        <v>0.1223849109676771</v>
      </c>
      <c r="J121">
        <f t="shared" si="5"/>
        <v>3.4000000000000057</v>
      </c>
    </row>
    <row r="122" spans="1:10" x14ac:dyDescent="0.25">
      <c r="A122" t="s">
        <v>8</v>
      </c>
      <c r="B122">
        <v>75</v>
      </c>
      <c r="C122">
        <v>398.17</v>
      </c>
      <c r="D122">
        <v>57.09</v>
      </c>
      <c r="E122">
        <v>53.46</v>
      </c>
      <c r="F122">
        <v>2.12</v>
      </c>
      <c r="G122">
        <v>7.0000000000000001E-3</v>
      </c>
      <c r="H122">
        <f t="shared" si="3"/>
        <v>0.14338096792827185</v>
      </c>
      <c r="I122">
        <f t="shared" si="4"/>
        <v>0.13426425898485572</v>
      </c>
      <c r="J122">
        <f t="shared" si="5"/>
        <v>3.6300000000000026</v>
      </c>
    </row>
    <row r="123" spans="1:10" x14ac:dyDescent="0.25">
      <c r="A123" t="s">
        <v>8</v>
      </c>
      <c r="B123">
        <v>80</v>
      </c>
      <c r="C123">
        <v>398.17</v>
      </c>
      <c r="D123">
        <v>64.739999999999995</v>
      </c>
      <c r="E123">
        <v>60.85</v>
      </c>
      <c r="F123">
        <v>2.2288999999999999</v>
      </c>
      <c r="G123">
        <v>7.0000000000000001E-3</v>
      </c>
      <c r="H123">
        <f t="shared" si="3"/>
        <v>0.16259386694125622</v>
      </c>
      <c r="I123">
        <f t="shared" si="4"/>
        <v>0.15282417058040534</v>
      </c>
      <c r="J123">
        <f t="shared" si="5"/>
        <v>3.8899999999999935</v>
      </c>
    </row>
    <row r="124" spans="1:10" x14ac:dyDescent="0.25">
      <c r="A124" t="s">
        <v>8</v>
      </c>
      <c r="B124">
        <v>85</v>
      </c>
      <c r="C124">
        <v>398.17</v>
      </c>
      <c r="D124">
        <v>75.010000000000005</v>
      </c>
      <c r="E124">
        <v>70.930000000000007</v>
      </c>
      <c r="F124">
        <v>2.1877</v>
      </c>
      <c r="G124">
        <v>7.0000000000000001E-3</v>
      </c>
      <c r="H124">
        <f t="shared" si="3"/>
        <v>0.18838686992992942</v>
      </c>
      <c r="I124">
        <f t="shared" si="4"/>
        <v>0.17813999045633774</v>
      </c>
      <c r="J124">
        <f t="shared" si="5"/>
        <v>4.0799999999999983</v>
      </c>
    </row>
    <row r="125" spans="1:10" x14ac:dyDescent="0.25">
      <c r="A125" t="s">
        <v>8</v>
      </c>
      <c r="B125">
        <v>90</v>
      </c>
      <c r="C125">
        <v>398.17</v>
      </c>
      <c r="D125">
        <v>92.31</v>
      </c>
      <c r="E125">
        <v>87.36</v>
      </c>
      <c r="F125">
        <v>2.2456</v>
      </c>
      <c r="G125">
        <v>8.0000000000000002E-3</v>
      </c>
      <c r="H125">
        <f t="shared" si="3"/>
        <v>0.23183564809001181</v>
      </c>
      <c r="I125">
        <f t="shared" si="4"/>
        <v>0.21940377225808072</v>
      </c>
      <c r="J125">
        <f t="shared" si="5"/>
        <v>4.9500000000000028</v>
      </c>
    </row>
    <row r="126" spans="1:10" x14ac:dyDescent="0.25">
      <c r="A126" t="s">
        <v>8</v>
      </c>
      <c r="B126">
        <v>95</v>
      </c>
      <c r="C126">
        <v>398.17</v>
      </c>
      <c r="D126">
        <v>127.85</v>
      </c>
      <c r="E126">
        <v>120.82</v>
      </c>
      <c r="F126">
        <v>2.3290999999999999</v>
      </c>
      <c r="G126">
        <v>8.9999999999999993E-3</v>
      </c>
      <c r="H126">
        <f t="shared" si="3"/>
        <v>0.3210940050732099</v>
      </c>
      <c r="I126">
        <f t="shared" si="4"/>
        <v>0.30343822990180069</v>
      </c>
      <c r="J126">
        <f t="shared" si="5"/>
        <v>7.0300000000000011</v>
      </c>
    </row>
    <row r="127" spans="1:10" x14ac:dyDescent="0.25">
      <c r="A127" t="s">
        <v>8</v>
      </c>
      <c r="B127">
        <v>100</v>
      </c>
      <c r="C127">
        <v>398.17</v>
      </c>
      <c r="D127">
        <v>213.55</v>
      </c>
      <c r="E127">
        <v>218.14</v>
      </c>
      <c r="F127">
        <v>2.5312999999999999</v>
      </c>
      <c r="G127">
        <v>8.9999999999999993E-3</v>
      </c>
      <c r="H127">
        <f t="shared" si="3"/>
        <v>0.53632870381997644</v>
      </c>
      <c r="I127">
        <f t="shared" si="4"/>
        <v>0.54785644322776694</v>
      </c>
      <c r="J127">
        <f t="shared" si="5"/>
        <v>-4.589999999999975</v>
      </c>
    </row>
    <row r="128" spans="1:10" x14ac:dyDescent="0.25">
      <c r="A128" t="s">
        <v>9</v>
      </c>
      <c r="B128">
        <v>0</v>
      </c>
      <c r="C128">
        <v>95.64</v>
      </c>
      <c r="D128">
        <v>13.83</v>
      </c>
      <c r="E128">
        <v>12.46</v>
      </c>
      <c r="F128">
        <v>4.1940999999999997</v>
      </c>
      <c r="G128">
        <v>5.0000000000000001E-3</v>
      </c>
      <c r="H128">
        <f t="shared" si="3"/>
        <v>0.14460476787954832</v>
      </c>
      <c r="I128">
        <f t="shared" si="4"/>
        <v>0.13028021748222501</v>
      </c>
      <c r="J128">
        <f t="shared" si="5"/>
        <v>1.3699999999999992</v>
      </c>
    </row>
    <row r="129" spans="1:10" x14ac:dyDescent="0.25">
      <c r="A129" t="s">
        <v>9</v>
      </c>
      <c r="B129">
        <v>5</v>
      </c>
      <c r="C129">
        <v>95.64</v>
      </c>
      <c r="D129">
        <v>16.600000000000001</v>
      </c>
      <c r="E129">
        <v>14.52</v>
      </c>
      <c r="F129">
        <v>3.9201999999999999</v>
      </c>
      <c r="G129">
        <v>7.0000000000000001E-3</v>
      </c>
      <c r="H129">
        <f t="shared" si="3"/>
        <v>0.17356754496026769</v>
      </c>
      <c r="I129">
        <f t="shared" si="4"/>
        <v>0.15181932245922208</v>
      </c>
      <c r="J129">
        <f t="shared" si="5"/>
        <v>2.0800000000000018</v>
      </c>
    </row>
    <row r="130" spans="1:10" x14ac:dyDescent="0.25">
      <c r="A130" t="s">
        <v>9</v>
      </c>
      <c r="B130">
        <v>10</v>
      </c>
      <c r="C130">
        <v>95.64</v>
      </c>
      <c r="D130">
        <v>22.16</v>
      </c>
      <c r="E130">
        <v>19.36</v>
      </c>
      <c r="F130">
        <v>3.9239000000000002</v>
      </c>
      <c r="G130">
        <v>5.0000000000000001E-3</v>
      </c>
      <c r="H130">
        <f t="shared" si="3"/>
        <v>0.23170221664575491</v>
      </c>
      <c r="I130">
        <f t="shared" si="4"/>
        <v>0.20242576327896278</v>
      </c>
      <c r="J130">
        <f t="shared" si="5"/>
        <v>2.8000000000000007</v>
      </c>
    </row>
    <row r="131" spans="1:10" x14ac:dyDescent="0.25">
      <c r="A131" t="s">
        <v>9</v>
      </c>
      <c r="B131">
        <v>15</v>
      </c>
      <c r="C131">
        <v>95.64</v>
      </c>
      <c r="D131">
        <v>26.74</v>
      </c>
      <c r="E131">
        <v>23.2</v>
      </c>
      <c r="F131">
        <v>3.9845000000000002</v>
      </c>
      <c r="G131">
        <v>5.0000000000000001E-3</v>
      </c>
      <c r="H131">
        <f t="shared" ref="H131:H194" si="6">D131/C131</f>
        <v>0.27959012965286489</v>
      </c>
      <c r="I131">
        <f t="shared" ref="I131:I194" si="7">E131/C131</f>
        <v>0.2425763278962777</v>
      </c>
      <c r="J131">
        <f t="shared" ref="J131:J194" si="8">D131-E131</f>
        <v>3.5399999999999991</v>
      </c>
    </row>
    <row r="132" spans="1:10" x14ac:dyDescent="0.25">
      <c r="A132" t="s">
        <v>9</v>
      </c>
      <c r="B132">
        <v>20</v>
      </c>
      <c r="C132">
        <v>95.64</v>
      </c>
      <c r="D132">
        <v>31.24</v>
      </c>
      <c r="E132">
        <v>27.03</v>
      </c>
      <c r="F132">
        <v>3.9908999999999999</v>
      </c>
      <c r="G132">
        <v>7.0000000000000001E-3</v>
      </c>
      <c r="H132">
        <f t="shared" si="6"/>
        <v>0.32664157256378085</v>
      </c>
      <c r="I132">
        <f t="shared" si="7"/>
        <v>0.28262233375156837</v>
      </c>
      <c r="J132">
        <f t="shared" si="8"/>
        <v>4.2099999999999973</v>
      </c>
    </row>
    <row r="133" spans="1:10" x14ac:dyDescent="0.25">
      <c r="A133" t="s">
        <v>9</v>
      </c>
      <c r="B133">
        <v>25</v>
      </c>
      <c r="C133">
        <v>95.64</v>
      </c>
      <c r="D133">
        <v>35.08</v>
      </c>
      <c r="E133">
        <v>30.16</v>
      </c>
      <c r="F133">
        <v>4.5716999999999999</v>
      </c>
      <c r="G133">
        <v>7.6E-3</v>
      </c>
      <c r="H133">
        <f t="shared" si="6"/>
        <v>0.36679213718109577</v>
      </c>
      <c r="I133">
        <f t="shared" si="7"/>
        <v>0.31534922626516104</v>
      </c>
      <c r="J133">
        <f t="shared" si="8"/>
        <v>4.9199999999999982</v>
      </c>
    </row>
    <row r="134" spans="1:10" x14ac:dyDescent="0.25">
      <c r="A134" t="s">
        <v>9</v>
      </c>
      <c r="B134">
        <v>30</v>
      </c>
      <c r="C134">
        <v>95.64</v>
      </c>
      <c r="D134">
        <v>38.619999999999997</v>
      </c>
      <c r="E134">
        <v>33.47</v>
      </c>
      <c r="F134">
        <v>3.9706999999999999</v>
      </c>
      <c r="G134">
        <v>5.0000000000000001E-3</v>
      </c>
      <c r="H134">
        <f t="shared" si="6"/>
        <v>0.40380593893768296</v>
      </c>
      <c r="I134">
        <f t="shared" si="7"/>
        <v>0.34995817649519029</v>
      </c>
      <c r="J134">
        <f t="shared" si="8"/>
        <v>5.1499999999999986</v>
      </c>
    </row>
    <row r="135" spans="1:10" x14ac:dyDescent="0.25">
      <c r="A135" t="s">
        <v>9</v>
      </c>
      <c r="B135">
        <v>35</v>
      </c>
      <c r="C135">
        <v>95.64</v>
      </c>
      <c r="D135">
        <v>43.51</v>
      </c>
      <c r="E135">
        <v>37.68</v>
      </c>
      <c r="F135">
        <v>4.0095000000000001</v>
      </c>
      <c r="G135">
        <v>7.0000000000000001E-3</v>
      </c>
      <c r="H135">
        <f t="shared" si="6"/>
        <v>0.45493517356754493</v>
      </c>
      <c r="I135">
        <f t="shared" si="7"/>
        <v>0.39397741530740277</v>
      </c>
      <c r="J135">
        <f t="shared" si="8"/>
        <v>5.8299999999999983</v>
      </c>
    </row>
    <row r="136" spans="1:10" x14ac:dyDescent="0.25">
      <c r="A136" t="s">
        <v>9</v>
      </c>
      <c r="B136">
        <v>40</v>
      </c>
      <c r="C136">
        <v>95.64</v>
      </c>
      <c r="D136">
        <v>45.42</v>
      </c>
      <c r="E136">
        <v>39.11</v>
      </c>
      <c r="F136">
        <v>4.3353999999999999</v>
      </c>
      <c r="G136">
        <v>8.0000000000000002E-3</v>
      </c>
      <c r="H136">
        <f t="shared" si="6"/>
        <v>0.47490589711417819</v>
      </c>
      <c r="I136">
        <f t="shared" si="7"/>
        <v>0.40892931827687157</v>
      </c>
      <c r="J136">
        <f t="shared" si="8"/>
        <v>6.3100000000000023</v>
      </c>
    </row>
    <row r="137" spans="1:10" x14ac:dyDescent="0.25">
      <c r="A137" t="s">
        <v>9</v>
      </c>
      <c r="B137">
        <v>45</v>
      </c>
      <c r="C137">
        <v>95.64</v>
      </c>
      <c r="D137">
        <v>47.27</v>
      </c>
      <c r="E137">
        <v>40.619999999999997</v>
      </c>
      <c r="F137">
        <v>4.0663</v>
      </c>
      <c r="G137">
        <v>6.0000000000000001E-3</v>
      </c>
      <c r="H137">
        <f t="shared" si="6"/>
        <v>0.49424926808866587</v>
      </c>
      <c r="I137">
        <f t="shared" si="7"/>
        <v>0.42471769134253445</v>
      </c>
      <c r="J137">
        <f t="shared" si="8"/>
        <v>6.6500000000000057</v>
      </c>
    </row>
    <row r="138" spans="1:10" x14ac:dyDescent="0.25">
      <c r="A138" t="s">
        <v>9</v>
      </c>
      <c r="B138">
        <v>50</v>
      </c>
      <c r="C138">
        <v>95.64</v>
      </c>
      <c r="D138">
        <v>49.11</v>
      </c>
      <c r="E138">
        <v>42.18</v>
      </c>
      <c r="F138">
        <v>3.9643000000000002</v>
      </c>
      <c r="G138">
        <v>5.0000000000000001E-3</v>
      </c>
      <c r="H138">
        <f t="shared" si="6"/>
        <v>0.51348808030112925</v>
      </c>
      <c r="I138">
        <f t="shared" si="7"/>
        <v>0.44102885821831866</v>
      </c>
      <c r="J138">
        <f t="shared" si="8"/>
        <v>6.93</v>
      </c>
    </row>
    <row r="139" spans="1:10" x14ac:dyDescent="0.25">
      <c r="A139" t="s">
        <v>9</v>
      </c>
      <c r="B139">
        <v>55</v>
      </c>
      <c r="C139">
        <v>95.64</v>
      </c>
      <c r="D139">
        <v>51.32</v>
      </c>
      <c r="E139">
        <v>44.29</v>
      </c>
      <c r="F139">
        <v>3.9841000000000002</v>
      </c>
      <c r="G139">
        <v>7.1000000000000004E-3</v>
      </c>
      <c r="H139">
        <f t="shared" si="6"/>
        <v>0.53659556670849018</v>
      </c>
      <c r="I139">
        <f t="shared" si="7"/>
        <v>0.46309075700543706</v>
      </c>
      <c r="J139">
        <f t="shared" si="8"/>
        <v>7.0300000000000011</v>
      </c>
    </row>
    <row r="140" spans="1:10" x14ac:dyDescent="0.25">
      <c r="A140" t="s">
        <v>9</v>
      </c>
      <c r="B140">
        <v>60</v>
      </c>
      <c r="C140">
        <v>95.64</v>
      </c>
      <c r="D140">
        <v>60.87</v>
      </c>
      <c r="E140">
        <v>53.72</v>
      </c>
      <c r="F140">
        <v>4.0090000000000003</v>
      </c>
      <c r="G140">
        <v>7.4000000000000003E-3</v>
      </c>
      <c r="H140">
        <f t="shared" si="6"/>
        <v>0.63644918444165621</v>
      </c>
      <c r="I140">
        <f t="shared" si="7"/>
        <v>0.56168966959431199</v>
      </c>
      <c r="J140">
        <f t="shared" si="8"/>
        <v>7.1499999999999986</v>
      </c>
    </row>
    <row r="141" spans="1:10" x14ac:dyDescent="0.25">
      <c r="A141" t="s">
        <v>9</v>
      </c>
      <c r="B141">
        <v>65</v>
      </c>
      <c r="C141">
        <v>95.64</v>
      </c>
      <c r="D141">
        <v>68.45</v>
      </c>
      <c r="E141">
        <v>60.18</v>
      </c>
      <c r="F141">
        <v>4.0555000000000003</v>
      </c>
      <c r="G141">
        <v>5.0000000000000001E-3</v>
      </c>
      <c r="H141">
        <f t="shared" si="6"/>
        <v>0.71570472605604352</v>
      </c>
      <c r="I141">
        <f t="shared" si="7"/>
        <v>0.62923462986198242</v>
      </c>
      <c r="J141">
        <f t="shared" si="8"/>
        <v>8.2700000000000031</v>
      </c>
    </row>
    <row r="142" spans="1:10" x14ac:dyDescent="0.25">
      <c r="A142" t="s">
        <v>9</v>
      </c>
      <c r="B142">
        <v>70</v>
      </c>
      <c r="C142">
        <v>95.64</v>
      </c>
      <c r="D142">
        <v>72.36</v>
      </c>
      <c r="E142">
        <v>63.32</v>
      </c>
      <c r="F142">
        <v>4.0721999999999996</v>
      </c>
      <c r="G142">
        <v>5.3E-3</v>
      </c>
      <c r="H142">
        <f t="shared" si="6"/>
        <v>0.75658720200752827</v>
      </c>
      <c r="I142">
        <f t="shared" si="7"/>
        <v>0.66206608113759935</v>
      </c>
      <c r="J142">
        <f t="shared" si="8"/>
        <v>9.0399999999999991</v>
      </c>
    </row>
    <row r="143" spans="1:10" x14ac:dyDescent="0.25">
      <c r="A143" t="s">
        <v>9</v>
      </c>
      <c r="B143">
        <v>75</v>
      </c>
      <c r="C143">
        <v>95.64</v>
      </c>
      <c r="D143">
        <v>76.83</v>
      </c>
      <c r="E143">
        <v>67.239999999999995</v>
      </c>
      <c r="F143">
        <v>4.1508000000000003</v>
      </c>
      <c r="G143">
        <v>8.0000000000000002E-3</v>
      </c>
      <c r="H143">
        <f t="shared" si="6"/>
        <v>0.80332496863237135</v>
      </c>
      <c r="I143">
        <f t="shared" si="7"/>
        <v>0.7030531158511083</v>
      </c>
      <c r="J143">
        <f t="shared" si="8"/>
        <v>9.5900000000000034</v>
      </c>
    </row>
    <row r="144" spans="1:10" x14ac:dyDescent="0.25">
      <c r="A144" t="s">
        <v>9</v>
      </c>
      <c r="B144">
        <v>80</v>
      </c>
      <c r="C144">
        <v>95.64</v>
      </c>
      <c r="D144">
        <v>82.65</v>
      </c>
      <c r="E144">
        <v>72.150000000000006</v>
      </c>
      <c r="F144">
        <v>4.5815000000000001</v>
      </c>
      <c r="G144">
        <v>1.6500000000000001E-2</v>
      </c>
      <c r="H144">
        <f t="shared" si="6"/>
        <v>0.86417816813048942</v>
      </c>
      <c r="I144">
        <f t="shared" si="7"/>
        <v>0.75439146800501888</v>
      </c>
      <c r="J144">
        <f t="shared" si="8"/>
        <v>10.5</v>
      </c>
    </row>
    <row r="145" spans="1:10" x14ac:dyDescent="0.25">
      <c r="A145" t="s">
        <v>9</v>
      </c>
      <c r="B145">
        <v>85</v>
      </c>
      <c r="C145">
        <v>95.64</v>
      </c>
      <c r="D145">
        <v>90.73</v>
      </c>
      <c r="E145">
        <v>79.27</v>
      </c>
      <c r="F145">
        <v>4.1196999999999999</v>
      </c>
      <c r="G145">
        <v>1.4999999999999999E-2</v>
      </c>
      <c r="H145">
        <f t="shared" si="6"/>
        <v>0.94866164784608953</v>
      </c>
      <c r="I145">
        <f t="shared" si="7"/>
        <v>0.82883730656629018</v>
      </c>
      <c r="J145">
        <f t="shared" si="8"/>
        <v>11.460000000000008</v>
      </c>
    </row>
    <row r="146" spans="1:10" x14ac:dyDescent="0.25">
      <c r="A146" t="s">
        <v>9</v>
      </c>
      <c r="B146">
        <v>90</v>
      </c>
      <c r="C146">
        <v>95.64</v>
      </c>
      <c r="D146">
        <v>113.33</v>
      </c>
      <c r="E146">
        <v>99.38</v>
      </c>
      <c r="F146">
        <v>4.0918999999999999</v>
      </c>
      <c r="G146">
        <v>8.9999999999999993E-3</v>
      </c>
      <c r="H146">
        <f t="shared" si="6"/>
        <v>1.1849644500209118</v>
      </c>
      <c r="I146">
        <f t="shared" si="7"/>
        <v>1.0391049769970724</v>
      </c>
      <c r="J146">
        <f t="shared" si="8"/>
        <v>13.950000000000003</v>
      </c>
    </row>
    <row r="147" spans="1:10" x14ac:dyDescent="0.25">
      <c r="A147" t="s">
        <v>9</v>
      </c>
      <c r="B147">
        <v>95</v>
      </c>
      <c r="C147">
        <v>95.64</v>
      </c>
      <c r="D147">
        <v>150.22999999999999</v>
      </c>
      <c r="E147">
        <v>131.32</v>
      </c>
      <c r="F147">
        <v>4.3285999999999998</v>
      </c>
      <c r="G147">
        <v>7.0000000000000001E-3</v>
      </c>
      <c r="H147">
        <f t="shared" si="6"/>
        <v>1.5707862818904224</v>
      </c>
      <c r="I147">
        <f t="shared" si="7"/>
        <v>1.3730656629025511</v>
      </c>
      <c r="J147">
        <f t="shared" si="8"/>
        <v>18.909999999999997</v>
      </c>
    </row>
    <row r="148" spans="1:10" x14ac:dyDescent="0.25">
      <c r="A148" t="s">
        <v>9</v>
      </c>
      <c r="B148">
        <v>100</v>
      </c>
      <c r="C148">
        <v>95.64</v>
      </c>
      <c r="D148">
        <v>231.95</v>
      </c>
      <c r="E148">
        <v>251.94</v>
      </c>
      <c r="F148">
        <v>4.4405000000000001</v>
      </c>
      <c r="G148">
        <v>8.0000000000000002E-3</v>
      </c>
      <c r="H148">
        <f t="shared" si="6"/>
        <v>2.4252404851526554</v>
      </c>
      <c r="I148">
        <f t="shared" si="7"/>
        <v>2.6342534504391466</v>
      </c>
      <c r="J148">
        <f t="shared" si="8"/>
        <v>-19.990000000000009</v>
      </c>
    </row>
    <row r="149" spans="1:10" x14ac:dyDescent="0.25">
      <c r="A149" t="s">
        <v>14</v>
      </c>
      <c r="B149">
        <v>0</v>
      </c>
      <c r="C149">
        <v>1865.26</v>
      </c>
      <c r="D149">
        <v>39.49</v>
      </c>
      <c r="E149">
        <v>36.19</v>
      </c>
      <c r="F149">
        <v>8.0558999999999994</v>
      </c>
      <c r="G149">
        <v>2.7E-2</v>
      </c>
      <c r="H149">
        <f t="shared" si="6"/>
        <v>2.1171311238111577E-2</v>
      </c>
      <c r="I149">
        <f t="shared" si="7"/>
        <v>1.9402120883951834E-2</v>
      </c>
      <c r="J149">
        <f t="shared" si="8"/>
        <v>3.3000000000000043</v>
      </c>
    </row>
    <row r="150" spans="1:10" x14ac:dyDescent="0.25">
      <c r="A150" t="s">
        <v>14</v>
      </c>
      <c r="B150">
        <v>5</v>
      </c>
      <c r="C150">
        <v>1865.26</v>
      </c>
      <c r="D150">
        <v>49.93</v>
      </c>
      <c r="E150">
        <v>45.39</v>
      </c>
      <c r="F150">
        <v>7.9348000000000001</v>
      </c>
      <c r="G150">
        <v>2.5999999999999999E-2</v>
      </c>
      <c r="H150">
        <f t="shared" si="6"/>
        <v>2.6768386176726031E-2</v>
      </c>
      <c r="I150">
        <f t="shared" si="7"/>
        <v>2.433440914403354E-2</v>
      </c>
      <c r="J150">
        <f t="shared" si="8"/>
        <v>4.5399999999999991</v>
      </c>
    </row>
    <row r="151" spans="1:10" x14ac:dyDescent="0.25">
      <c r="A151" t="s">
        <v>14</v>
      </c>
      <c r="B151">
        <v>10</v>
      </c>
      <c r="C151">
        <v>1865.26</v>
      </c>
      <c r="D151">
        <v>71.55</v>
      </c>
      <c r="E151">
        <v>64.489999999999995</v>
      </c>
      <c r="F151">
        <v>7.9945000000000004</v>
      </c>
      <c r="G151">
        <v>2.5999999999999999E-2</v>
      </c>
      <c r="H151">
        <f t="shared" si="6"/>
        <v>3.8359263587918038E-2</v>
      </c>
      <c r="I151">
        <f t="shared" si="7"/>
        <v>3.457426846659447E-2</v>
      </c>
      <c r="J151">
        <f t="shared" si="8"/>
        <v>7.0600000000000023</v>
      </c>
    </row>
    <row r="152" spans="1:10" x14ac:dyDescent="0.25">
      <c r="A152" t="s">
        <v>14</v>
      </c>
      <c r="B152">
        <v>15</v>
      </c>
      <c r="C152">
        <v>1865.26</v>
      </c>
      <c r="D152">
        <v>90.7</v>
      </c>
      <c r="E152">
        <v>81.680000000000007</v>
      </c>
      <c r="F152">
        <v>8.0657999999999994</v>
      </c>
      <c r="G152">
        <v>2.8000000000000001E-2</v>
      </c>
      <c r="H152">
        <f t="shared" si="6"/>
        <v>4.8625928824935938E-2</v>
      </c>
      <c r="I152">
        <f t="shared" si="7"/>
        <v>4.3790141856899313E-2</v>
      </c>
      <c r="J152">
        <f t="shared" si="8"/>
        <v>9.019999999999996</v>
      </c>
    </row>
    <row r="153" spans="1:10" x14ac:dyDescent="0.25">
      <c r="A153" t="s">
        <v>14</v>
      </c>
      <c r="B153">
        <v>20</v>
      </c>
      <c r="C153">
        <v>1865.26</v>
      </c>
      <c r="D153">
        <v>107.69</v>
      </c>
      <c r="E153">
        <v>96.32</v>
      </c>
      <c r="F153">
        <v>8.1698000000000004</v>
      </c>
      <c r="G153">
        <v>2.8000000000000001E-2</v>
      </c>
      <c r="H153">
        <f t="shared" si="6"/>
        <v>5.7734578557412909E-2</v>
      </c>
      <c r="I153">
        <f t="shared" si="7"/>
        <v>5.1638913609898883E-2</v>
      </c>
      <c r="J153">
        <f t="shared" si="8"/>
        <v>11.370000000000005</v>
      </c>
    </row>
    <row r="154" spans="1:10" x14ac:dyDescent="0.25">
      <c r="A154" t="s">
        <v>14</v>
      </c>
      <c r="B154">
        <v>25</v>
      </c>
      <c r="C154">
        <v>1865.26</v>
      </c>
      <c r="D154">
        <v>123.85</v>
      </c>
      <c r="E154">
        <v>110.28</v>
      </c>
      <c r="F154">
        <v>8.2027999999999999</v>
      </c>
      <c r="G154">
        <v>0.03</v>
      </c>
      <c r="H154">
        <f t="shared" si="6"/>
        <v>6.6398250109904244E-2</v>
      </c>
      <c r="I154">
        <f t="shared" si="7"/>
        <v>5.9123124926283736E-2</v>
      </c>
      <c r="J154">
        <f t="shared" si="8"/>
        <v>13.569999999999993</v>
      </c>
    </row>
    <row r="155" spans="1:10" x14ac:dyDescent="0.25">
      <c r="A155" t="s">
        <v>14</v>
      </c>
      <c r="B155">
        <v>30</v>
      </c>
      <c r="C155">
        <v>1865.26</v>
      </c>
      <c r="D155">
        <v>138.66</v>
      </c>
      <c r="E155">
        <v>124.53</v>
      </c>
      <c r="F155">
        <v>8.7658000000000005</v>
      </c>
      <c r="G155">
        <v>0.03</v>
      </c>
      <c r="H155">
        <f t="shared" si="6"/>
        <v>7.4338161972057518E-2</v>
      </c>
      <c r="I155">
        <f t="shared" si="7"/>
        <v>6.6762810546518989E-2</v>
      </c>
      <c r="J155">
        <f t="shared" si="8"/>
        <v>14.129999999999995</v>
      </c>
    </row>
    <row r="156" spans="1:10" x14ac:dyDescent="0.25">
      <c r="A156" t="s">
        <v>14</v>
      </c>
      <c r="B156">
        <v>35</v>
      </c>
      <c r="C156">
        <v>1865.26</v>
      </c>
      <c r="D156">
        <v>152</v>
      </c>
      <c r="E156">
        <v>138.04</v>
      </c>
      <c r="F156">
        <v>8.4253</v>
      </c>
      <c r="G156">
        <v>3.2000000000000001E-2</v>
      </c>
      <c r="H156">
        <f t="shared" si="6"/>
        <v>8.1489979949175992E-2</v>
      </c>
      <c r="I156">
        <f t="shared" si="7"/>
        <v>7.4005768632791138E-2</v>
      </c>
      <c r="J156">
        <f t="shared" si="8"/>
        <v>13.960000000000008</v>
      </c>
    </row>
    <row r="157" spans="1:10" x14ac:dyDescent="0.25">
      <c r="A157" t="s">
        <v>14</v>
      </c>
      <c r="B157">
        <v>40</v>
      </c>
      <c r="C157">
        <v>1865.26</v>
      </c>
      <c r="D157">
        <v>161.65</v>
      </c>
      <c r="E157">
        <v>147.74</v>
      </c>
      <c r="F157">
        <v>8.2786000000000008</v>
      </c>
      <c r="G157">
        <v>2.92E-2</v>
      </c>
      <c r="H157">
        <f t="shared" si="6"/>
        <v>8.6663521439370381E-2</v>
      </c>
      <c r="I157">
        <f t="shared" si="7"/>
        <v>7.9206116037442501E-2</v>
      </c>
      <c r="J157">
        <f t="shared" si="8"/>
        <v>13.909999999999997</v>
      </c>
    </row>
    <row r="158" spans="1:10" x14ac:dyDescent="0.25">
      <c r="A158" t="s">
        <v>14</v>
      </c>
      <c r="B158">
        <v>45</v>
      </c>
      <c r="C158">
        <v>1865.26</v>
      </c>
      <c r="D158">
        <v>171.89</v>
      </c>
      <c r="E158">
        <v>157.84</v>
      </c>
      <c r="F158">
        <v>8.3722999999999992</v>
      </c>
      <c r="G158">
        <v>3.0800000000000001E-2</v>
      </c>
      <c r="H158">
        <f t="shared" si="6"/>
        <v>9.2153372720156973E-2</v>
      </c>
      <c r="I158">
        <f t="shared" si="7"/>
        <v>8.4620910757749593E-2</v>
      </c>
      <c r="J158">
        <f t="shared" si="8"/>
        <v>14.049999999999983</v>
      </c>
    </row>
    <row r="159" spans="1:10" x14ac:dyDescent="0.25">
      <c r="A159" t="s">
        <v>14</v>
      </c>
      <c r="B159">
        <v>50</v>
      </c>
      <c r="C159">
        <v>1865.26</v>
      </c>
      <c r="D159">
        <v>180.73</v>
      </c>
      <c r="E159">
        <v>166.54</v>
      </c>
      <c r="F159">
        <v>8.7798999999999996</v>
      </c>
      <c r="G159">
        <v>2.8500000000000001E-2</v>
      </c>
      <c r="H159">
        <f t="shared" si="6"/>
        <v>9.6892658396148523E-2</v>
      </c>
      <c r="I159">
        <f t="shared" si="7"/>
        <v>8.9285139873261629E-2</v>
      </c>
      <c r="J159">
        <f t="shared" si="8"/>
        <v>14.189999999999998</v>
      </c>
    </row>
    <row r="160" spans="1:10" x14ac:dyDescent="0.25">
      <c r="A160" t="s">
        <v>14</v>
      </c>
      <c r="B160">
        <v>55</v>
      </c>
      <c r="C160">
        <v>1865.26</v>
      </c>
      <c r="D160">
        <v>189.94</v>
      </c>
      <c r="E160">
        <v>175.46</v>
      </c>
      <c r="F160">
        <v>8.3902000000000001</v>
      </c>
      <c r="G160">
        <v>3.2000000000000001E-2</v>
      </c>
      <c r="H160">
        <f t="shared" si="6"/>
        <v>0.10183030783912163</v>
      </c>
      <c r="I160">
        <f t="shared" si="7"/>
        <v>9.4067315012384342E-2</v>
      </c>
      <c r="J160">
        <f t="shared" si="8"/>
        <v>14.47999999999999</v>
      </c>
    </row>
    <row r="161" spans="1:10" x14ac:dyDescent="0.25">
      <c r="A161" t="s">
        <v>14</v>
      </c>
      <c r="B161">
        <v>60</v>
      </c>
      <c r="C161">
        <v>1865.26</v>
      </c>
      <c r="D161">
        <v>201.5</v>
      </c>
      <c r="E161">
        <v>186.16</v>
      </c>
      <c r="F161">
        <v>8.4873999999999992</v>
      </c>
      <c r="G161">
        <v>2.9000000000000001E-2</v>
      </c>
      <c r="H161">
        <f t="shared" si="6"/>
        <v>0.10802783526157211</v>
      </c>
      <c r="I161">
        <f t="shared" si="7"/>
        <v>9.9803780706175016E-2</v>
      </c>
      <c r="J161">
        <f t="shared" si="8"/>
        <v>15.340000000000003</v>
      </c>
    </row>
    <row r="162" spans="1:10" x14ac:dyDescent="0.25">
      <c r="A162" t="s">
        <v>14</v>
      </c>
      <c r="B162">
        <v>65</v>
      </c>
      <c r="C162">
        <v>1865.26</v>
      </c>
      <c r="D162">
        <v>215.53</v>
      </c>
      <c r="E162">
        <v>198.75</v>
      </c>
      <c r="F162">
        <v>8.4343000000000004</v>
      </c>
      <c r="G162">
        <v>3.1E-2</v>
      </c>
      <c r="H162">
        <f t="shared" si="6"/>
        <v>0.11554957485819671</v>
      </c>
      <c r="I162">
        <f t="shared" si="7"/>
        <v>0.10655350996643899</v>
      </c>
      <c r="J162">
        <f t="shared" si="8"/>
        <v>16.78</v>
      </c>
    </row>
    <row r="163" spans="1:10" x14ac:dyDescent="0.25">
      <c r="A163" t="s">
        <v>14</v>
      </c>
      <c r="B163">
        <v>70</v>
      </c>
      <c r="C163">
        <v>1865.26</v>
      </c>
      <c r="D163">
        <v>231.02</v>
      </c>
      <c r="E163">
        <v>213.48</v>
      </c>
      <c r="F163">
        <v>9.0212000000000003</v>
      </c>
      <c r="G163">
        <v>2.9000000000000001E-2</v>
      </c>
      <c r="H163">
        <f t="shared" si="6"/>
        <v>0.12385404715696471</v>
      </c>
      <c r="I163">
        <f t="shared" si="7"/>
        <v>0.11445053236546111</v>
      </c>
      <c r="J163">
        <f t="shared" si="8"/>
        <v>17.54000000000002</v>
      </c>
    </row>
    <row r="164" spans="1:10" x14ac:dyDescent="0.25">
      <c r="A164" t="s">
        <v>14</v>
      </c>
      <c r="B164">
        <v>75</v>
      </c>
      <c r="C164">
        <v>1865.26</v>
      </c>
      <c r="D164">
        <v>249.01</v>
      </c>
      <c r="E164">
        <v>231.12</v>
      </c>
      <c r="F164">
        <v>8.4916</v>
      </c>
      <c r="G164">
        <v>2.9100000000000001E-2</v>
      </c>
      <c r="H164">
        <f t="shared" si="6"/>
        <v>0.133498815178581</v>
      </c>
      <c r="I164">
        <f t="shared" si="7"/>
        <v>0.12390765898587865</v>
      </c>
      <c r="J164">
        <f t="shared" si="8"/>
        <v>17.889999999999986</v>
      </c>
    </row>
    <row r="165" spans="1:10" x14ac:dyDescent="0.25">
      <c r="A165" t="s">
        <v>14</v>
      </c>
      <c r="B165">
        <v>80</v>
      </c>
      <c r="C165">
        <v>1865.26</v>
      </c>
      <c r="D165">
        <v>275.02999999999997</v>
      </c>
      <c r="E165">
        <v>255.74</v>
      </c>
      <c r="F165">
        <v>8.6187000000000005</v>
      </c>
      <c r="G165">
        <v>3.2000000000000001E-2</v>
      </c>
      <c r="H165">
        <f t="shared" si="6"/>
        <v>0.14744861306198598</v>
      </c>
      <c r="I165">
        <f t="shared" si="7"/>
        <v>0.13710689126448861</v>
      </c>
      <c r="J165">
        <f t="shared" si="8"/>
        <v>19.289999999999964</v>
      </c>
    </row>
    <row r="166" spans="1:10" x14ac:dyDescent="0.25">
      <c r="A166" t="s">
        <v>14</v>
      </c>
      <c r="B166">
        <v>85</v>
      </c>
      <c r="C166">
        <v>1865.26</v>
      </c>
      <c r="D166">
        <v>310.63</v>
      </c>
      <c r="E166">
        <v>288.26</v>
      </c>
      <c r="F166">
        <v>8.6438000000000006</v>
      </c>
      <c r="G166">
        <v>3.1E-2</v>
      </c>
      <c r="H166">
        <f t="shared" si="6"/>
        <v>0.16653442415534564</v>
      </c>
      <c r="I166">
        <f t="shared" si="7"/>
        <v>0.15454145802729913</v>
      </c>
      <c r="J166">
        <f t="shared" si="8"/>
        <v>22.370000000000005</v>
      </c>
    </row>
    <row r="167" spans="1:10" x14ac:dyDescent="0.25">
      <c r="A167" t="s">
        <v>14</v>
      </c>
      <c r="B167">
        <v>90</v>
      </c>
      <c r="C167">
        <v>1865.26</v>
      </c>
      <c r="D167">
        <v>378.24</v>
      </c>
      <c r="E167">
        <v>348.47</v>
      </c>
      <c r="F167">
        <v>9.0250000000000004</v>
      </c>
      <c r="G167">
        <v>2.9000000000000001E-2</v>
      </c>
      <c r="H167">
        <f t="shared" si="6"/>
        <v>0.20278138168405477</v>
      </c>
      <c r="I167">
        <f t="shared" si="7"/>
        <v>0.18682114021637736</v>
      </c>
      <c r="J167">
        <f t="shared" si="8"/>
        <v>29.769999999999982</v>
      </c>
    </row>
    <row r="168" spans="1:10" x14ac:dyDescent="0.25">
      <c r="A168" t="s">
        <v>14</v>
      </c>
      <c r="B168">
        <v>95</v>
      </c>
      <c r="C168">
        <v>1865.26</v>
      </c>
      <c r="D168">
        <v>519.99</v>
      </c>
      <c r="E168">
        <v>475.67</v>
      </c>
      <c r="F168">
        <v>9.09</v>
      </c>
      <c r="G168">
        <v>3.2500000000000001E-2</v>
      </c>
      <c r="H168">
        <f t="shared" si="6"/>
        <v>0.27877614916955279</v>
      </c>
      <c r="I168">
        <f t="shared" si="7"/>
        <v>0.25501538659489831</v>
      </c>
      <c r="J168">
        <f t="shared" si="8"/>
        <v>44.319999999999993</v>
      </c>
    </row>
    <row r="169" spans="1:10" x14ac:dyDescent="0.25">
      <c r="A169" t="s">
        <v>14</v>
      </c>
      <c r="B169">
        <v>100</v>
      </c>
      <c r="C169">
        <v>1865.26</v>
      </c>
      <c r="D169">
        <v>882.87</v>
      </c>
      <c r="E169">
        <v>917.44</v>
      </c>
      <c r="F169">
        <v>10.3881</v>
      </c>
      <c r="G169">
        <v>3.1E-2</v>
      </c>
      <c r="H169">
        <f t="shared" si="6"/>
        <v>0.47332275393242768</v>
      </c>
      <c r="I169">
        <f t="shared" si="7"/>
        <v>0.49185636318797382</v>
      </c>
      <c r="J169">
        <f t="shared" si="8"/>
        <v>-34.57000000000005</v>
      </c>
    </row>
    <row r="170" spans="1:10" x14ac:dyDescent="0.25">
      <c r="A170" t="s">
        <v>15</v>
      </c>
      <c r="B170">
        <v>0</v>
      </c>
      <c r="C170">
        <v>2138.34</v>
      </c>
      <c r="D170">
        <v>40.020000000000003</v>
      </c>
      <c r="E170">
        <v>36.9</v>
      </c>
      <c r="F170">
        <v>7.8830999999999998</v>
      </c>
      <c r="G170">
        <v>3.3000000000000002E-2</v>
      </c>
      <c r="H170">
        <f t="shared" si="6"/>
        <v>1.8715452173181067E-2</v>
      </c>
      <c r="I170">
        <f t="shared" si="7"/>
        <v>1.7256376441538761E-2</v>
      </c>
      <c r="J170">
        <f t="shared" si="8"/>
        <v>3.1200000000000045</v>
      </c>
    </row>
    <row r="171" spans="1:10" x14ac:dyDescent="0.25">
      <c r="A171" t="s">
        <v>15</v>
      </c>
      <c r="B171">
        <v>5</v>
      </c>
      <c r="C171">
        <v>2138.34</v>
      </c>
      <c r="D171">
        <v>51.9</v>
      </c>
      <c r="E171">
        <v>47.71</v>
      </c>
      <c r="F171">
        <v>8.0029000000000003</v>
      </c>
      <c r="G171">
        <v>3.5999999999999997E-2</v>
      </c>
      <c r="H171">
        <f t="shared" si="6"/>
        <v>2.4271163612895982E-2</v>
      </c>
      <c r="I171">
        <f t="shared" si="7"/>
        <v>2.2311699729696866E-2</v>
      </c>
      <c r="J171">
        <f t="shared" si="8"/>
        <v>4.1899999999999977</v>
      </c>
    </row>
    <row r="172" spans="1:10" x14ac:dyDescent="0.25">
      <c r="A172" t="s">
        <v>15</v>
      </c>
      <c r="B172">
        <v>10</v>
      </c>
      <c r="C172">
        <v>2138.34</v>
      </c>
      <c r="D172">
        <v>73.56</v>
      </c>
      <c r="E172">
        <v>67.709999999999994</v>
      </c>
      <c r="F172">
        <v>8.2408999999999999</v>
      </c>
      <c r="G172">
        <v>3.44E-2</v>
      </c>
      <c r="H172">
        <f t="shared" si="6"/>
        <v>3.4400516288335813E-2</v>
      </c>
      <c r="I172">
        <f t="shared" si="7"/>
        <v>3.1664749291506492E-2</v>
      </c>
      <c r="J172">
        <f t="shared" si="8"/>
        <v>5.8500000000000085</v>
      </c>
    </row>
    <row r="173" spans="1:10" x14ac:dyDescent="0.25">
      <c r="A173" t="s">
        <v>15</v>
      </c>
      <c r="B173">
        <v>15</v>
      </c>
      <c r="C173">
        <v>2138.34</v>
      </c>
      <c r="D173">
        <v>92.71</v>
      </c>
      <c r="E173">
        <v>84.85</v>
      </c>
      <c r="F173">
        <v>8.1224000000000007</v>
      </c>
      <c r="G173">
        <v>3.6999999999999998E-2</v>
      </c>
      <c r="H173">
        <f t="shared" si="6"/>
        <v>4.3356061243768527E-2</v>
      </c>
      <c r="I173">
        <f t="shared" si="7"/>
        <v>3.9680312765977339E-2</v>
      </c>
      <c r="J173">
        <f t="shared" si="8"/>
        <v>7.8599999999999994</v>
      </c>
    </row>
    <row r="174" spans="1:10" x14ac:dyDescent="0.25">
      <c r="A174" t="s">
        <v>15</v>
      </c>
      <c r="B174">
        <v>20</v>
      </c>
      <c r="C174">
        <v>2138.34</v>
      </c>
      <c r="D174">
        <v>109.37</v>
      </c>
      <c r="E174">
        <v>100.18</v>
      </c>
      <c r="F174">
        <v>8.1821999999999999</v>
      </c>
      <c r="G174">
        <v>3.4000000000000002E-2</v>
      </c>
      <c r="H174">
        <f t="shared" si="6"/>
        <v>5.1147151528755951E-2</v>
      </c>
      <c r="I174">
        <f t="shared" si="7"/>
        <v>4.6849425255104424E-2</v>
      </c>
      <c r="J174">
        <f t="shared" si="8"/>
        <v>9.1899999999999977</v>
      </c>
    </row>
    <row r="175" spans="1:10" x14ac:dyDescent="0.25">
      <c r="A175" t="s">
        <v>15</v>
      </c>
      <c r="B175">
        <v>25</v>
      </c>
      <c r="C175">
        <v>2138.34</v>
      </c>
      <c r="D175">
        <v>125.04</v>
      </c>
      <c r="E175">
        <v>114.64</v>
      </c>
      <c r="F175">
        <v>8.2056000000000004</v>
      </c>
      <c r="G175">
        <v>3.7999999999999999E-2</v>
      </c>
      <c r="H175">
        <f t="shared" si="6"/>
        <v>5.8475265860433792E-2</v>
      </c>
      <c r="I175">
        <f t="shared" si="7"/>
        <v>5.3611680088292785E-2</v>
      </c>
      <c r="J175">
        <f t="shared" si="8"/>
        <v>10.400000000000006</v>
      </c>
    </row>
    <row r="176" spans="1:10" x14ac:dyDescent="0.25">
      <c r="A176" t="s">
        <v>15</v>
      </c>
      <c r="B176">
        <v>30</v>
      </c>
      <c r="C176">
        <v>2138.34</v>
      </c>
      <c r="D176">
        <v>140.09</v>
      </c>
      <c r="E176">
        <v>128.78</v>
      </c>
      <c r="F176">
        <v>8.4377999999999993</v>
      </c>
      <c r="G176">
        <v>3.5000000000000003E-2</v>
      </c>
      <c r="H176">
        <f t="shared" si="6"/>
        <v>6.5513435655695534E-2</v>
      </c>
      <c r="I176">
        <f t="shared" si="7"/>
        <v>6.0224286128492191E-2</v>
      </c>
      <c r="J176">
        <f t="shared" si="8"/>
        <v>11.310000000000002</v>
      </c>
    </row>
    <row r="177" spans="1:10" x14ac:dyDescent="0.25">
      <c r="A177" t="s">
        <v>15</v>
      </c>
      <c r="B177">
        <v>35</v>
      </c>
      <c r="C177">
        <v>2138.34</v>
      </c>
      <c r="D177">
        <v>154.26</v>
      </c>
      <c r="E177">
        <v>141.97999999999999</v>
      </c>
      <c r="F177">
        <v>8.3350000000000009</v>
      </c>
      <c r="G177">
        <v>3.6999999999999998E-2</v>
      </c>
      <c r="H177">
        <f t="shared" si="6"/>
        <v>7.2140071270237652E-2</v>
      </c>
      <c r="I177">
        <f t="shared" si="7"/>
        <v>6.6397298839286537E-2</v>
      </c>
      <c r="J177">
        <f t="shared" si="8"/>
        <v>12.280000000000001</v>
      </c>
    </row>
    <row r="178" spans="1:10" x14ac:dyDescent="0.25">
      <c r="A178" t="s">
        <v>15</v>
      </c>
      <c r="B178">
        <v>40</v>
      </c>
      <c r="C178">
        <v>2138.34</v>
      </c>
      <c r="D178">
        <v>166.6</v>
      </c>
      <c r="E178">
        <v>152.55000000000001</v>
      </c>
      <c r="F178">
        <v>8.3870000000000005</v>
      </c>
      <c r="G178">
        <v>3.6400000000000002E-2</v>
      </c>
      <c r="H178">
        <f t="shared" si="6"/>
        <v>7.7910902849874189E-2</v>
      </c>
      <c r="I178">
        <f t="shared" si="7"/>
        <v>7.1340385532702943E-2</v>
      </c>
      <c r="J178">
        <f t="shared" si="8"/>
        <v>14.049999999999983</v>
      </c>
    </row>
    <row r="179" spans="1:10" x14ac:dyDescent="0.25">
      <c r="A179" t="s">
        <v>15</v>
      </c>
      <c r="B179">
        <v>45</v>
      </c>
      <c r="C179">
        <v>2138.34</v>
      </c>
      <c r="D179">
        <v>179.39</v>
      </c>
      <c r="E179">
        <v>164.12</v>
      </c>
      <c r="F179">
        <v>8.4329000000000001</v>
      </c>
      <c r="G179">
        <v>3.6600000000000001E-2</v>
      </c>
      <c r="H179">
        <f t="shared" si="6"/>
        <v>8.3892178044651447E-2</v>
      </c>
      <c r="I179">
        <f t="shared" si="7"/>
        <v>7.6751124704209805E-2</v>
      </c>
      <c r="J179">
        <f t="shared" si="8"/>
        <v>15.269999999999982</v>
      </c>
    </row>
    <row r="180" spans="1:10" x14ac:dyDescent="0.25">
      <c r="A180" t="s">
        <v>15</v>
      </c>
      <c r="B180">
        <v>50</v>
      </c>
      <c r="C180">
        <v>2138.34</v>
      </c>
      <c r="D180">
        <v>190.65</v>
      </c>
      <c r="E180">
        <v>174.43</v>
      </c>
      <c r="F180">
        <v>8.4583999999999993</v>
      </c>
      <c r="G180">
        <v>3.5999999999999997E-2</v>
      </c>
      <c r="H180">
        <f t="shared" si="6"/>
        <v>8.9157944947950277E-2</v>
      </c>
      <c r="I180">
        <f t="shared" si="7"/>
        <v>8.1572621753322666E-2</v>
      </c>
      <c r="J180">
        <f t="shared" si="8"/>
        <v>16.22</v>
      </c>
    </row>
    <row r="181" spans="1:10" x14ac:dyDescent="0.25">
      <c r="A181" t="s">
        <v>15</v>
      </c>
      <c r="B181">
        <v>55</v>
      </c>
      <c r="C181">
        <v>2138.34</v>
      </c>
      <c r="D181">
        <v>202.41</v>
      </c>
      <c r="E181">
        <v>185.6</v>
      </c>
      <c r="F181">
        <v>8.3859999999999992</v>
      </c>
      <c r="G181">
        <v>3.6999999999999998E-2</v>
      </c>
      <c r="H181">
        <f t="shared" si="6"/>
        <v>9.4657538090294327E-2</v>
      </c>
      <c r="I181">
        <f t="shared" si="7"/>
        <v>8.6796299933593335E-2</v>
      </c>
      <c r="J181">
        <f t="shared" si="8"/>
        <v>16.810000000000002</v>
      </c>
    </row>
    <row r="182" spans="1:10" x14ac:dyDescent="0.25">
      <c r="A182" t="s">
        <v>15</v>
      </c>
      <c r="B182">
        <v>60</v>
      </c>
      <c r="C182">
        <v>2138.34</v>
      </c>
      <c r="D182">
        <v>217.07</v>
      </c>
      <c r="E182">
        <v>198.75</v>
      </c>
      <c r="F182">
        <v>8.4514999999999993</v>
      </c>
      <c r="G182">
        <v>3.5999999999999997E-2</v>
      </c>
      <c r="H182">
        <f t="shared" si="6"/>
        <v>0.10151332341910078</v>
      </c>
      <c r="I182">
        <f t="shared" si="7"/>
        <v>9.2945930020483167E-2</v>
      </c>
      <c r="J182">
        <f t="shared" si="8"/>
        <v>18.319999999999993</v>
      </c>
    </row>
    <row r="183" spans="1:10" x14ac:dyDescent="0.25">
      <c r="A183" t="s">
        <v>15</v>
      </c>
      <c r="B183">
        <v>65</v>
      </c>
      <c r="C183">
        <v>2138.34</v>
      </c>
      <c r="D183">
        <v>235.28</v>
      </c>
      <c r="E183">
        <v>215.59</v>
      </c>
      <c r="F183">
        <v>8.9077999999999999</v>
      </c>
      <c r="G183">
        <v>3.6999999999999998E-2</v>
      </c>
      <c r="H183">
        <f t="shared" si="6"/>
        <v>0.11002927504512845</v>
      </c>
      <c r="I183">
        <f t="shared" si="7"/>
        <v>0.10082119775152688</v>
      </c>
      <c r="J183">
        <f t="shared" si="8"/>
        <v>19.689999999999998</v>
      </c>
    </row>
    <row r="184" spans="1:10" x14ac:dyDescent="0.25">
      <c r="A184" t="s">
        <v>15</v>
      </c>
      <c r="B184">
        <v>70</v>
      </c>
      <c r="C184">
        <v>2138.34</v>
      </c>
      <c r="D184">
        <v>256.68</v>
      </c>
      <c r="E184">
        <v>235.66</v>
      </c>
      <c r="F184">
        <v>8.6202000000000005</v>
      </c>
      <c r="G184">
        <v>3.7999999999999999E-2</v>
      </c>
      <c r="H184">
        <f t="shared" si="6"/>
        <v>0.12003703807626476</v>
      </c>
      <c r="I184">
        <f t="shared" si="7"/>
        <v>0.11020698298680284</v>
      </c>
      <c r="J184">
        <f t="shared" si="8"/>
        <v>21.02000000000001</v>
      </c>
    </row>
    <row r="185" spans="1:10" x14ac:dyDescent="0.25">
      <c r="A185" t="s">
        <v>15</v>
      </c>
      <c r="B185">
        <v>75</v>
      </c>
      <c r="C185">
        <v>2138.34</v>
      </c>
      <c r="D185">
        <v>281.35000000000002</v>
      </c>
      <c r="E185">
        <v>259.02999999999997</v>
      </c>
      <c r="F185">
        <v>8.8008000000000006</v>
      </c>
      <c r="G185">
        <v>4.2099999999999999E-2</v>
      </c>
      <c r="H185">
        <f t="shared" si="6"/>
        <v>0.13157402471075694</v>
      </c>
      <c r="I185">
        <f t="shared" si="7"/>
        <v>0.12113602139977737</v>
      </c>
      <c r="J185">
        <f t="shared" si="8"/>
        <v>22.32000000000005</v>
      </c>
    </row>
    <row r="186" spans="1:10" x14ac:dyDescent="0.25">
      <c r="A186" t="s">
        <v>15</v>
      </c>
      <c r="B186">
        <v>80</v>
      </c>
      <c r="C186">
        <v>2138.34</v>
      </c>
      <c r="D186">
        <v>319.08999999999997</v>
      </c>
      <c r="E186">
        <v>294.44</v>
      </c>
      <c r="F186">
        <v>8.7788000000000004</v>
      </c>
      <c r="G186">
        <v>3.9E-2</v>
      </c>
      <c r="H186">
        <f t="shared" si="6"/>
        <v>0.1492232292338917</v>
      </c>
      <c r="I186">
        <f t="shared" si="7"/>
        <v>0.13769559564896133</v>
      </c>
      <c r="J186">
        <f t="shared" si="8"/>
        <v>24.649999999999977</v>
      </c>
    </row>
    <row r="187" spans="1:10" x14ac:dyDescent="0.25">
      <c r="A187" t="s">
        <v>15</v>
      </c>
      <c r="B187">
        <v>85</v>
      </c>
      <c r="C187">
        <v>2138.34</v>
      </c>
      <c r="D187">
        <v>369.89</v>
      </c>
      <c r="E187">
        <v>342.63</v>
      </c>
      <c r="F187">
        <v>8.9602000000000004</v>
      </c>
      <c r="G187">
        <v>3.9E-2</v>
      </c>
      <c r="H187">
        <f t="shared" si="6"/>
        <v>0.17297997512088814</v>
      </c>
      <c r="I187">
        <f t="shared" si="7"/>
        <v>0.16023176856814164</v>
      </c>
      <c r="J187">
        <f t="shared" si="8"/>
        <v>27.259999999999991</v>
      </c>
    </row>
    <row r="188" spans="1:10" x14ac:dyDescent="0.25">
      <c r="A188" t="s">
        <v>15</v>
      </c>
      <c r="B188">
        <v>90</v>
      </c>
      <c r="C188">
        <v>2138.34</v>
      </c>
      <c r="D188">
        <v>458.76</v>
      </c>
      <c r="E188">
        <v>426.35</v>
      </c>
      <c r="F188">
        <v>9.1905000000000001</v>
      </c>
      <c r="G188">
        <v>3.7999999999999999E-2</v>
      </c>
      <c r="H188">
        <f t="shared" si="6"/>
        <v>0.21454025084878922</v>
      </c>
      <c r="I188">
        <f t="shared" si="7"/>
        <v>0.19938363403387674</v>
      </c>
      <c r="J188">
        <f t="shared" si="8"/>
        <v>32.409999999999968</v>
      </c>
    </row>
    <row r="189" spans="1:10" x14ac:dyDescent="0.25">
      <c r="A189" t="s">
        <v>15</v>
      </c>
      <c r="B189">
        <v>95</v>
      </c>
      <c r="C189">
        <v>2138.34</v>
      </c>
      <c r="D189">
        <v>645.37</v>
      </c>
      <c r="E189">
        <v>603.79</v>
      </c>
      <c r="F189">
        <v>9.5792999999999999</v>
      </c>
      <c r="G189">
        <v>3.9899999999999998E-2</v>
      </c>
      <c r="H189">
        <f t="shared" si="6"/>
        <v>0.30180887978525395</v>
      </c>
      <c r="I189">
        <f t="shared" si="7"/>
        <v>0.28236388974625171</v>
      </c>
      <c r="J189">
        <f t="shared" si="8"/>
        <v>41.580000000000041</v>
      </c>
    </row>
    <row r="190" spans="1:10" x14ac:dyDescent="0.25">
      <c r="A190" t="s">
        <v>15</v>
      </c>
      <c r="B190">
        <v>100</v>
      </c>
      <c r="C190">
        <v>2138.34</v>
      </c>
      <c r="D190">
        <v>1117.6600000000001</v>
      </c>
      <c r="E190">
        <v>1163.71</v>
      </c>
      <c r="F190">
        <v>11.038600000000001</v>
      </c>
      <c r="G190">
        <v>4.2000000000000003E-2</v>
      </c>
      <c r="H190">
        <f t="shared" si="6"/>
        <v>0.52267646866260742</v>
      </c>
      <c r="I190">
        <f t="shared" si="7"/>
        <v>0.54421186527867405</v>
      </c>
      <c r="J190">
        <f t="shared" si="8"/>
        <v>-46.049999999999955</v>
      </c>
    </row>
    <row r="191" spans="1:10" x14ac:dyDescent="0.25">
      <c r="A191" t="s">
        <v>7</v>
      </c>
      <c r="B191">
        <v>0</v>
      </c>
      <c r="C191">
        <v>4175.13</v>
      </c>
      <c r="D191">
        <v>74.61</v>
      </c>
      <c r="E191">
        <v>66.97</v>
      </c>
      <c r="F191">
        <v>16.5077</v>
      </c>
      <c r="G191">
        <v>7.5999999999999998E-2</v>
      </c>
      <c r="H191">
        <f t="shared" si="6"/>
        <v>1.7870102248313226E-2</v>
      </c>
      <c r="I191">
        <f t="shared" si="7"/>
        <v>1.6040219106949964E-2</v>
      </c>
      <c r="J191">
        <f t="shared" si="8"/>
        <v>7.6400000000000006</v>
      </c>
    </row>
    <row r="192" spans="1:10" x14ac:dyDescent="0.25">
      <c r="A192" t="s">
        <v>7</v>
      </c>
      <c r="B192">
        <v>5</v>
      </c>
      <c r="C192">
        <v>4175.13</v>
      </c>
      <c r="D192">
        <v>79.97</v>
      </c>
      <c r="E192">
        <v>71.66</v>
      </c>
      <c r="F192">
        <v>16.308399999999999</v>
      </c>
      <c r="G192">
        <v>7.6999999999999999E-2</v>
      </c>
      <c r="H192">
        <f t="shared" si="6"/>
        <v>1.915389460926965E-2</v>
      </c>
      <c r="I192">
        <f t="shared" si="7"/>
        <v>1.7163537422786833E-2</v>
      </c>
      <c r="J192">
        <f t="shared" si="8"/>
        <v>8.3100000000000023</v>
      </c>
    </row>
    <row r="193" spans="1:10" x14ac:dyDescent="0.25">
      <c r="A193" t="s">
        <v>7</v>
      </c>
      <c r="B193">
        <v>10</v>
      </c>
      <c r="C193">
        <v>4175.13</v>
      </c>
      <c r="D193">
        <v>94.41</v>
      </c>
      <c r="E193">
        <v>84.86</v>
      </c>
      <c r="F193">
        <v>16.605499999999999</v>
      </c>
      <c r="G193">
        <v>7.4999999999999997E-2</v>
      </c>
      <c r="H193">
        <f t="shared" si="6"/>
        <v>2.2612469551846287E-2</v>
      </c>
      <c r="I193">
        <f t="shared" si="7"/>
        <v>2.032511562514221E-2</v>
      </c>
      <c r="J193">
        <f t="shared" si="8"/>
        <v>9.5499999999999972</v>
      </c>
    </row>
    <row r="194" spans="1:10" x14ac:dyDescent="0.25">
      <c r="A194" t="s">
        <v>7</v>
      </c>
      <c r="B194">
        <v>15</v>
      </c>
      <c r="C194">
        <v>4175.13</v>
      </c>
      <c r="D194">
        <v>109.45</v>
      </c>
      <c r="E194">
        <v>98.95</v>
      </c>
      <c r="F194">
        <v>16.383500000000002</v>
      </c>
      <c r="G194">
        <v>7.8399999999999997E-2</v>
      </c>
      <c r="H194">
        <f t="shared" si="6"/>
        <v>2.6214752594529992E-2</v>
      </c>
      <c r="I194">
        <f t="shared" si="7"/>
        <v>2.3699860842656396E-2</v>
      </c>
      <c r="J194">
        <f t="shared" si="8"/>
        <v>10.5</v>
      </c>
    </row>
    <row r="195" spans="1:10" x14ac:dyDescent="0.25">
      <c r="A195" t="s">
        <v>7</v>
      </c>
      <c r="B195">
        <v>20</v>
      </c>
      <c r="C195">
        <v>4175.13</v>
      </c>
      <c r="D195">
        <v>124.39</v>
      </c>
      <c r="E195">
        <v>112.86</v>
      </c>
      <c r="F195">
        <v>16.9693</v>
      </c>
      <c r="G195">
        <v>7.8E-2</v>
      </c>
      <c r="H195">
        <f t="shared" ref="H195:H258" si="9">D195/C195</f>
        <v>2.9793084287195848E-2</v>
      </c>
      <c r="I195">
        <f t="shared" ref="I195:I258" si="10">E195/C195</f>
        <v>2.7031493630138462E-2</v>
      </c>
      <c r="J195">
        <f t="shared" ref="J195:J258" si="11">D195-E195</f>
        <v>11.530000000000001</v>
      </c>
    </row>
    <row r="196" spans="1:10" x14ac:dyDescent="0.25">
      <c r="A196" t="s">
        <v>7</v>
      </c>
      <c r="B196">
        <v>25</v>
      </c>
      <c r="C196">
        <v>4175.13</v>
      </c>
      <c r="D196">
        <v>139.08000000000001</v>
      </c>
      <c r="E196">
        <v>126.68</v>
      </c>
      <c r="F196">
        <v>16.498999999999999</v>
      </c>
      <c r="G196">
        <v>7.8E-2</v>
      </c>
      <c r="H196">
        <f t="shared" si="9"/>
        <v>3.3311537604817094E-2</v>
      </c>
      <c r="I196">
        <f t="shared" si="10"/>
        <v>3.034157020260447E-2</v>
      </c>
      <c r="J196">
        <f t="shared" si="11"/>
        <v>12.400000000000006</v>
      </c>
    </row>
    <row r="197" spans="1:10" x14ac:dyDescent="0.25">
      <c r="A197" t="s">
        <v>7</v>
      </c>
      <c r="B197">
        <v>30</v>
      </c>
      <c r="C197">
        <v>4175.13</v>
      </c>
      <c r="D197">
        <v>153.33000000000001</v>
      </c>
      <c r="E197">
        <v>140.09</v>
      </c>
      <c r="F197">
        <v>16.840399999999999</v>
      </c>
      <c r="G197">
        <v>7.8100000000000003E-2</v>
      </c>
      <c r="H197">
        <f t="shared" si="9"/>
        <v>3.6724604982359833E-2</v>
      </c>
      <c r="I197">
        <f t="shared" si="10"/>
        <v>3.3553446239997314E-2</v>
      </c>
      <c r="J197">
        <f t="shared" si="11"/>
        <v>13.240000000000009</v>
      </c>
    </row>
    <row r="198" spans="1:10" x14ac:dyDescent="0.25">
      <c r="A198" t="s">
        <v>7</v>
      </c>
      <c r="B198">
        <v>35</v>
      </c>
      <c r="C198">
        <v>4175.13</v>
      </c>
      <c r="D198">
        <v>167.03</v>
      </c>
      <c r="E198">
        <v>153.22999999999999</v>
      </c>
      <c r="F198">
        <v>16.570900000000002</v>
      </c>
      <c r="G198">
        <v>8.0500000000000002E-2</v>
      </c>
      <c r="H198">
        <f t="shared" si="9"/>
        <v>4.0005939934804426E-2</v>
      </c>
      <c r="I198">
        <f t="shared" si="10"/>
        <v>3.6700653632341984E-2</v>
      </c>
      <c r="J198">
        <f t="shared" si="11"/>
        <v>13.800000000000011</v>
      </c>
    </row>
    <row r="199" spans="1:10" x14ac:dyDescent="0.25">
      <c r="A199" t="s">
        <v>7</v>
      </c>
      <c r="B199">
        <v>40</v>
      </c>
      <c r="C199">
        <v>4175.13</v>
      </c>
      <c r="D199">
        <v>178.84</v>
      </c>
      <c r="E199">
        <v>164.24</v>
      </c>
      <c r="F199">
        <v>16.9328</v>
      </c>
      <c r="G199">
        <v>7.9000000000000001E-2</v>
      </c>
      <c r="H199">
        <f t="shared" si="9"/>
        <v>4.2834594371911776E-2</v>
      </c>
      <c r="I199">
        <f t="shared" si="10"/>
        <v>3.9337697269306589E-2</v>
      </c>
      <c r="J199">
        <f t="shared" si="11"/>
        <v>14.599999999999994</v>
      </c>
    </row>
    <row r="200" spans="1:10" x14ac:dyDescent="0.25">
      <c r="A200" t="s">
        <v>7</v>
      </c>
      <c r="B200">
        <v>45</v>
      </c>
      <c r="C200">
        <v>4175.13</v>
      </c>
      <c r="D200">
        <v>193.26</v>
      </c>
      <c r="E200">
        <v>177.65</v>
      </c>
      <c r="F200">
        <v>16.7239</v>
      </c>
      <c r="G200">
        <v>8.1799999999999998E-2</v>
      </c>
      <c r="H200">
        <f t="shared" si="9"/>
        <v>4.6288379044484837E-2</v>
      </c>
      <c r="I200">
        <f t="shared" si="10"/>
        <v>4.254957330669943E-2</v>
      </c>
      <c r="J200">
        <f t="shared" si="11"/>
        <v>15.609999999999985</v>
      </c>
    </row>
    <row r="201" spans="1:10" x14ac:dyDescent="0.25">
      <c r="A201" t="s">
        <v>7</v>
      </c>
      <c r="B201">
        <v>50</v>
      </c>
      <c r="C201">
        <v>4175.13</v>
      </c>
      <c r="D201">
        <v>205.25</v>
      </c>
      <c r="E201">
        <v>189.21</v>
      </c>
      <c r="F201">
        <v>17.160499999999999</v>
      </c>
      <c r="G201">
        <v>7.6999999999999999E-2</v>
      </c>
      <c r="H201">
        <f t="shared" si="9"/>
        <v>4.9160145911624306E-2</v>
      </c>
      <c r="I201">
        <f t="shared" si="10"/>
        <v>4.5318349368762174E-2</v>
      </c>
      <c r="J201">
        <f t="shared" si="11"/>
        <v>16.039999999999992</v>
      </c>
    </row>
    <row r="202" spans="1:10" x14ac:dyDescent="0.25">
      <c r="A202" t="s">
        <v>7</v>
      </c>
      <c r="B202">
        <v>55</v>
      </c>
      <c r="C202">
        <v>4175.13</v>
      </c>
      <c r="D202">
        <v>218.23</v>
      </c>
      <c r="E202">
        <v>201.62</v>
      </c>
      <c r="F202">
        <v>16.8962</v>
      </c>
      <c r="G202">
        <v>7.9399999999999998E-2</v>
      </c>
      <c r="H202">
        <f t="shared" si="9"/>
        <v>5.2269031143940423E-2</v>
      </c>
      <c r="I202">
        <f t="shared" si="10"/>
        <v>4.8290711905976579E-2</v>
      </c>
      <c r="J202">
        <f t="shared" si="11"/>
        <v>16.609999999999985</v>
      </c>
    </row>
    <row r="203" spans="1:10" x14ac:dyDescent="0.25">
      <c r="A203" t="s">
        <v>7</v>
      </c>
      <c r="B203">
        <v>60</v>
      </c>
      <c r="C203">
        <v>4175.13</v>
      </c>
      <c r="D203">
        <v>234.84</v>
      </c>
      <c r="E203">
        <v>217.51</v>
      </c>
      <c r="F203">
        <v>17.1464</v>
      </c>
      <c r="G203">
        <v>7.6999999999999999E-2</v>
      </c>
      <c r="H203">
        <f t="shared" si="9"/>
        <v>5.6247350381904274E-2</v>
      </c>
      <c r="I203">
        <f t="shared" si="10"/>
        <v>5.2096581423811947E-2</v>
      </c>
      <c r="J203">
        <f t="shared" si="11"/>
        <v>17.330000000000013</v>
      </c>
    </row>
    <row r="204" spans="1:10" x14ac:dyDescent="0.25">
      <c r="A204" t="s">
        <v>7</v>
      </c>
      <c r="B204">
        <v>65</v>
      </c>
      <c r="C204">
        <v>4175.13</v>
      </c>
      <c r="D204">
        <v>258.01</v>
      </c>
      <c r="E204">
        <v>238.59</v>
      </c>
      <c r="F204">
        <v>16.9072</v>
      </c>
      <c r="G204">
        <v>7.9299999999999995E-2</v>
      </c>
      <c r="H204">
        <f t="shared" si="9"/>
        <v>6.179687818103867E-2</v>
      </c>
      <c r="I204">
        <f t="shared" si="10"/>
        <v>5.7145526007573416E-2</v>
      </c>
      <c r="J204">
        <f t="shared" si="11"/>
        <v>19.419999999999987</v>
      </c>
    </row>
    <row r="205" spans="1:10" x14ac:dyDescent="0.25">
      <c r="A205" t="s">
        <v>7</v>
      </c>
      <c r="B205">
        <v>70</v>
      </c>
      <c r="C205">
        <v>4175.13</v>
      </c>
      <c r="D205">
        <v>285.10000000000002</v>
      </c>
      <c r="E205">
        <v>265.04000000000002</v>
      </c>
      <c r="F205">
        <v>17.3004</v>
      </c>
      <c r="G205">
        <v>7.85E-2</v>
      </c>
      <c r="H205">
        <f t="shared" si="9"/>
        <v>6.8285298900872551E-2</v>
      </c>
      <c r="I205">
        <f t="shared" si="10"/>
        <v>6.3480658087293099E-2</v>
      </c>
      <c r="J205">
        <f t="shared" si="11"/>
        <v>20.060000000000002</v>
      </c>
    </row>
    <row r="206" spans="1:10" x14ac:dyDescent="0.25">
      <c r="A206" t="s">
        <v>7</v>
      </c>
      <c r="B206">
        <v>75</v>
      </c>
      <c r="C206">
        <v>4175.13</v>
      </c>
      <c r="D206">
        <v>317.77</v>
      </c>
      <c r="E206">
        <v>296.27999999999997</v>
      </c>
      <c r="F206">
        <v>17.2104</v>
      </c>
      <c r="G206">
        <v>8.0500000000000002E-2</v>
      </c>
      <c r="H206">
        <f t="shared" si="9"/>
        <v>7.6110204951702093E-2</v>
      </c>
      <c r="I206">
        <f t="shared" si="10"/>
        <v>7.0963059832867464E-2</v>
      </c>
      <c r="J206">
        <f t="shared" si="11"/>
        <v>21.490000000000009</v>
      </c>
    </row>
    <row r="207" spans="1:10" x14ac:dyDescent="0.25">
      <c r="A207" t="s">
        <v>7</v>
      </c>
      <c r="B207">
        <v>80</v>
      </c>
      <c r="C207">
        <v>4175.13</v>
      </c>
      <c r="D207">
        <v>372.1</v>
      </c>
      <c r="E207">
        <v>348.38</v>
      </c>
      <c r="F207">
        <v>17.321400000000001</v>
      </c>
      <c r="G207">
        <v>7.85E-2</v>
      </c>
      <c r="H207">
        <f t="shared" si="9"/>
        <v>8.912297341639662E-2</v>
      </c>
      <c r="I207">
        <f t="shared" si="10"/>
        <v>8.3441713192164077E-2</v>
      </c>
      <c r="J207">
        <f t="shared" si="11"/>
        <v>23.720000000000027</v>
      </c>
    </row>
    <row r="208" spans="1:10" x14ac:dyDescent="0.25">
      <c r="A208" t="s">
        <v>7</v>
      </c>
      <c r="B208">
        <v>85</v>
      </c>
      <c r="C208">
        <v>4175.13</v>
      </c>
      <c r="D208">
        <v>449.45</v>
      </c>
      <c r="E208">
        <v>423.46</v>
      </c>
      <c r="F208">
        <v>17.543800000000001</v>
      </c>
      <c r="G208">
        <v>8.1000000000000003E-2</v>
      </c>
      <c r="H208">
        <f t="shared" si="9"/>
        <v>0.10764934265519875</v>
      </c>
      <c r="I208">
        <f t="shared" si="10"/>
        <v>0.10142438678556116</v>
      </c>
      <c r="J208">
        <f t="shared" si="11"/>
        <v>25.990000000000009</v>
      </c>
    </row>
    <row r="209" spans="1:10" x14ac:dyDescent="0.25">
      <c r="A209" t="s">
        <v>7</v>
      </c>
      <c r="B209">
        <v>90</v>
      </c>
      <c r="C209">
        <v>4175.13</v>
      </c>
      <c r="D209">
        <v>594.28</v>
      </c>
      <c r="E209">
        <v>558.6</v>
      </c>
      <c r="F209">
        <v>18.363199999999999</v>
      </c>
      <c r="G209">
        <v>8.3000000000000004E-2</v>
      </c>
      <c r="H209">
        <f t="shared" si="9"/>
        <v>0.14233808288604186</v>
      </c>
      <c r="I209">
        <f t="shared" si="10"/>
        <v>0.13379224119967523</v>
      </c>
      <c r="J209">
        <f t="shared" si="11"/>
        <v>35.67999999999995</v>
      </c>
    </row>
    <row r="210" spans="1:10" x14ac:dyDescent="0.25">
      <c r="A210" t="s">
        <v>7</v>
      </c>
      <c r="B210">
        <v>95</v>
      </c>
      <c r="C210">
        <v>4175.13</v>
      </c>
      <c r="D210">
        <v>916.82</v>
      </c>
      <c r="E210">
        <v>858.23</v>
      </c>
      <c r="F210">
        <v>18.992899999999999</v>
      </c>
      <c r="G210">
        <v>8.4599999999999995E-2</v>
      </c>
      <c r="H210">
        <f t="shared" si="9"/>
        <v>0.21959076723359514</v>
      </c>
      <c r="I210">
        <f t="shared" si="10"/>
        <v>0.20555767125814045</v>
      </c>
      <c r="J210">
        <f t="shared" si="11"/>
        <v>58.590000000000032</v>
      </c>
    </row>
    <row r="211" spans="1:10" x14ac:dyDescent="0.25">
      <c r="A211" t="s">
        <v>7</v>
      </c>
      <c r="B211">
        <v>100</v>
      </c>
      <c r="C211">
        <v>4175.13</v>
      </c>
      <c r="D211">
        <v>1797.16</v>
      </c>
      <c r="E211">
        <v>1930.82</v>
      </c>
      <c r="F211">
        <v>22.735900000000001</v>
      </c>
      <c r="G211">
        <v>9.1499999999999998E-2</v>
      </c>
      <c r="H211">
        <f t="shared" si="9"/>
        <v>0.43044408198068085</v>
      </c>
      <c r="I211">
        <f t="shared" si="10"/>
        <v>0.46245745641453079</v>
      </c>
      <c r="J211">
        <f t="shared" si="11"/>
        <v>-133.65999999999985</v>
      </c>
    </row>
    <row r="212" spans="1:10" x14ac:dyDescent="0.25">
      <c r="A212" t="s">
        <v>23</v>
      </c>
      <c r="B212">
        <v>0</v>
      </c>
      <c r="C212">
        <v>2061.29</v>
      </c>
      <c r="D212">
        <v>132.6</v>
      </c>
      <c r="E212">
        <v>121.95</v>
      </c>
      <c r="F212">
        <v>31.099799999999998</v>
      </c>
      <c r="G212">
        <v>4.1000000000000002E-2</v>
      </c>
      <c r="H212">
        <f t="shared" si="9"/>
        <v>6.4328648564733734E-2</v>
      </c>
      <c r="I212">
        <f t="shared" si="10"/>
        <v>5.9161981089511907E-2</v>
      </c>
      <c r="J212">
        <f t="shared" si="11"/>
        <v>10.649999999999991</v>
      </c>
    </row>
    <row r="213" spans="1:10" x14ac:dyDescent="0.25">
      <c r="A213" t="s">
        <v>23</v>
      </c>
      <c r="B213">
        <v>5</v>
      </c>
      <c r="C213">
        <v>2061.29</v>
      </c>
      <c r="D213">
        <v>177.88</v>
      </c>
      <c r="E213">
        <v>164.8</v>
      </c>
      <c r="F213">
        <v>31.318000000000001</v>
      </c>
      <c r="G213">
        <v>4.3999999999999997E-2</v>
      </c>
      <c r="H213">
        <f t="shared" si="9"/>
        <v>8.6295475163611135E-2</v>
      </c>
      <c r="I213">
        <f t="shared" si="10"/>
        <v>7.9949934264465464E-2</v>
      </c>
      <c r="J213">
        <f t="shared" si="11"/>
        <v>13.079999999999984</v>
      </c>
    </row>
    <row r="214" spans="1:10" x14ac:dyDescent="0.25">
      <c r="A214" t="s">
        <v>23</v>
      </c>
      <c r="B214">
        <v>10</v>
      </c>
      <c r="C214">
        <v>2061.29</v>
      </c>
      <c r="D214">
        <v>279.13</v>
      </c>
      <c r="E214">
        <v>259.99</v>
      </c>
      <c r="F214">
        <v>31.686800000000002</v>
      </c>
      <c r="G214">
        <v>4.2999999999999997E-2</v>
      </c>
      <c r="H214">
        <f t="shared" si="9"/>
        <v>0.13541520116043837</v>
      </c>
      <c r="I214">
        <f t="shared" si="10"/>
        <v>0.12612975369792703</v>
      </c>
      <c r="J214">
        <f t="shared" si="11"/>
        <v>19.139999999999986</v>
      </c>
    </row>
    <row r="215" spans="1:10" x14ac:dyDescent="0.25">
      <c r="A215" t="s">
        <v>23</v>
      </c>
      <c r="B215">
        <v>15</v>
      </c>
      <c r="C215">
        <v>2061.29</v>
      </c>
      <c r="D215">
        <v>369.5</v>
      </c>
      <c r="E215">
        <v>344.39</v>
      </c>
      <c r="F215">
        <v>32.167099999999998</v>
      </c>
      <c r="G215">
        <v>4.5999999999999999E-2</v>
      </c>
      <c r="H215">
        <f t="shared" si="9"/>
        <v>0.17925667906990284</v>
      </c>
      <c r="I215">
        <f t="shared" si="10"/>
        <v>0.16707498702268966</v>
      </c>
      <c r="J215">
        <f t="shared" si="11"/>
        <v>25.110000000000014</v>
      </c>
    </row>
    <row r="216" spans="1:10" x14ac:dyDescent="0.25">
      <c r="A216" t="s">
        <v>23</v>
      </c>
      <c r="B216">
        <v>20</v>
      </c>
      <c r="C216">
        <v>2061.29</v>
      </c>
      <c r="D216">
        <v>451.59</v>
      </c>
      <c r="E216">
        <v>420.56</v>
      </c>
      <c r="F216">
        <v>32.491100000000003</v>
      </c>
      <c r="G216">
        <v>4.4999999999999998E-2</v>
      </c>
      <c r="H216">
        <f t="shared" si="9"/>
        <v>0.21908125494229341</v>
      </c>
      <c r="I216">
        <f t="shared" si="10"/>
        <v>0.20402757496519169</v>
      </c>
      <c r="J216">
        <f t="shared" si="11"/>
        <v>31.029999999999973</v>
      </c>
    </row>
    <row r="217" spans="1:10" x14ac:dyDescent="0.25">
      <c r="A217" t="s">
        <v>23</v>
      </c>
      <c r="B217">
        <v>25</v>
      </c>
      <c r="C217">
        <v>2061.29</v>
      </c>
      <c r="D217">
        <v>531.27</v>
      </c>
      <c r="E217">
        <v>494.55</v>
      </c>
      <c r="F217">
        <v>32.671599999999998</v>
      </c>
      <c r="G217">
        <v>0.05</v>
      </c>
      <c r="H217">
        <f t="shared" si="9"/>
        <v>0.25773666005268547</v>
      </c>
      <c r="I217">
        <f t="shared" si="10"/>
        <v>0.23992257275783613</v>
      </c>
      <c r="J217">
        <f t="shared" si="11"/>
        <v>36.71999999999997</v>
      </c>
    </row>
    <row r="218" spans="1:10" x14ac:dyDescent="0.25">
      <c r="A218" t="s">
        <v>23</v>
      </c>
      <c r="B218">
        <v>30</v>
      </c>
      <c r="C218">
        <v>2061.29</v>
      </c>
      <c r="D218">
        <v>598</v>
      </c>
      <c r="E218">
        <v>557.5</v>
      </c>
      <c r="F218">
        <v>32.981000000000002</v>
      </c>
      <c r="G218">
        <v>4.7E-2</v>
      </c>
      <c r="H218">
        <f t="shared" si="9"/>
        <v>0.29010959156644628</v>
      </c>
      <c r="I218">
        <f t="shared" si="10"/>
        <v>0.27046170116771534</v>
      </c>
      <c r="J218">
        <f t="shared" si="11"/>
        <v>40.5</v>
      </c>
    </row>
    <row r="219" spans="1:10" x14ac:dyDescent="0.25">
      <c r="A219" t="s">
        <v>23</v>
      </c>
      <c r="B219">
        <v>35</v>
      </c>
      <c r="C219">
        <v>2061.29</v>
      </c>
      <c r="D219">
        <v>673.51</v>
      </c>
      <c r="E219">
        <v>629</v>
      </c>
      <c r="F219">
        <v>32.999400000000001</v>
      </c>
      <c r="G219">
        <v>4.7E-2</v>
      </c>
      <c r="H219">
        <f t="shared" si="9"/>
        <v>0.3267419916654134</v>
      </c>
      <c r="I219">
        <f t="shared" si="10"/>
        <v>0.30514871755066003</v>
      </c>
      <c r="J219">
        <f t="shared" si="11"/>
        <v>44.509999999999991</v>
      </c>
    </row>
    <row r="220" spans="1:10" x14ac:dyDescent="0.25">
      <c r="A220" t="s">
        <v>23</v>
      </c>
      <c r="B220">
        <v>40</v>
      </c>
      <c r="C220">
        <v>2061.29</v>
      </c>
      <c r="D220">
        <v>721.21</v>
      </c>
      <c r="E220">
        <v>670.05</v>
      </c>
      <c r="F220">
        <v>33.469200000000001</v>
      </c>
      <c r="G220">
        <v>4.8000000000000001E-2</v>
      </c>
      <c r="H220">
        <f t="shared" si="9"/>
        <v>0.34988284035725203</v>
      </c>
      <c r="I220">
        <f t="shared" si="10"/>
        <v>0.3250634311523366</v>
      </c>
      <c r="J220">
        <f t="shared" si="11"/>
        <v>51.160000000000082</v>
      </c>
    </row>
    <row r="221" spans="1:10" x14ac:dyDescent="0.25">
      <c r="A221" t="s">
        <v>23</v>
      </c>
      <c r="B221">
        <v>45</v>
      </c>
      <c r="C221">
        <v>2061.29</v>
      </c>
      <c r="D221">
        <v>818.41</v>
      </c>
      <c r="E221">
        <v>758.41</v>
      </c>
      <c r="F221">
        <v>33.816699999999997</v>
      </c>
      <c r="G221">
        <v>4.9000000000000002E-2</v>
      </c>
      <c r="H221">
        <f t="shared" si="9"/>
        <v>0.39703777731420614</v>
      </c>
      <c r="I221">
        <f t="shared" si="10"/>
        <v>0.36792979153830851</v>
      </c>
      <c r="J221">
        <f t="shared" si="11"/>
        <v>60</v>
      </c>
    </row>
    <row r="222" spans="1:10" x14ac:dyDescent="0.25">
      <c r="A222" t="s">
        <v>23</v>
      </c>
      <c r="B222">
        <v>50</v>
      </c>
      <c r="C222">
        <v>2061.29</v>
      </c>
      <c r="D222">
        <v>861</v>
      </c>
      <c r="E222">
        <v>792.88</v>
      </c>
      <c r="F222">
        <v>33.879899999999999</v>
      </c>
      <c r="G222">
        <v>4.7300000000000002E-2</v>
      </c>
      <c r="H222">
        <f t="shared" si="9"/>
        <v>0.4176995958841308</v>
      </c>
      <c r="I222">
        <f t="shared" si="10"/>
        <v>0.38465232936656174</v>
      </c>
      <c r="J222">
        <f t="shared" si="11"/>
        <v>68.12</v>
      </c>
    </row>
    <row r="223" spans="1:10" x14ac:dyDescent="0.25">
      <c r="A223" t="s">
        <v>23</v>
      </c>
      <c r="B223">
        <v>55</v>
      </c>
      <c r="C223">
        <v>2061.29</v>
      </c>
      <c r="D223">
        <v>897.77</v>
      </c>
      <c r="E223">
        <v>824.45</v>
      </c>
      <c r="F223">
        <v>33.8461</v>
      </c>
      <c r="G223">
        <v>4.9099999999999998E-2</v>
      </c>
      <c r="H223">
        <f t="shared" si="9"/>
        <v>0.43553793983379341</v>
      </c>
      <c r="I223">
        <f t="shared" si="10"/>
        <v>0.39996798121564653</v>
      </c>
      <c r="J223">
        <f t="shared" si="11"/>
        <v>73.319999999999936</v>
      </c>
    </row>
    <row r="224" spans="1:10" x14ac:dyDescent="0.25">
      <c r="A224" t="s">
        <v>23</v>
      </c>
      <c r="B224">
        <v>60</v>
      </c>
      <c r="C224">
        <v>2061.29</v>
      </c>
      <c r="D224">
        <v>1001.88</v>
      </c>
      <c r="E224">
        <v>926.17</v>
      </c>
      <c r="F224">
        <v>34.335599999999999</v>
      </c>
      <c r="G224">
        <v>5.0500000000000003E-2</v>
      </c>
      <c r="H224">
        <f t="shared" si="9"/>
        <v>0.48604514648593844</v>
      </c>
      <c r="I224">
        <f t="shared" si="10"/>
        <v>0.44931571976771828</v>
      </c>
      <c r="J224">
        <f t="shared" si="11"/>
        <v>75.710000000000036</v>
      </c>
    </row>
    <row r="225" spans="1:10" x14ac:dyDescent="0.25">
      <c r="A225" t="s">
        <v>23</v>
      </c>
      <c r="B225">
        <v>65</v>
      </c>
      <c r="C225">
        <v>2061.29</v>
      </c>
      <c r="D225">
        <v>1124.77</v>
      </c>
      <c r="E225">
        <v>1041.32</v>
      </c>
      <c r="F225">
        <v>34.863999999999997</v>
      </c>
      <c r="G225">
        <v>4.9200000000000001E-2</v>
      </c>
      <c r="H225">
        <f t="shared" si="9"/>
        <v>0.54566315268593935</v>
      </c>
      <c r="I225">
        <f t="shared" si="10"/>
        <v>0.50517879580262848</v>
      </c>
      <c r="J225">
        <f t="shared" si="11"/>
        <v>83.450000000000045</v>
      </c>
    </row>
    <row r="226" spans="1:10" x14ac:dyDescent="0.25">
      <c r="A226" t="s">
        <v>23</v>
      </c>
      <c r="B226">
        <v>70</v>
      </c>
      <c r="C226">
        <v>2061.29</v>
      </c>
      <c r="D226">
        <v>1186.97</v>
      </c>
      <c r="E226">
        <v>1096.72</v>
      </c>
      <c r="F226">
        <v>34.851799999999997</v>
      </c>
      <c r="G226">
        <v>4.8000000000000001E-2</v>
      </c>
      <c r="H226">
        <f t="shared" si="9"/>
        <v>0.57583843127361989</v>
      </c>
      <c r="I226">
        <f t="shared" si="10"/>
        <v>0.53205516933570729</v>
      </c>
      <c r="J226">
        <f t="shared" si="11"/>
        <v>90.25</v>
      </c>
    </row>
    <row r="227" spans="1:10" x14ac:dyDescent="0.25">
      <c r="A227" t="s">
        <v>23</v>
      </c>
      <c r="B227">
        <v>75</v>
      </c>
      <c r="C227">
        <v>2061.29</v>
      </c>
      <c r="D227">
        <v>1254.98</v>
      </c>
      <c r="E227">
        <v>1160.02</v>
      </c>
      <c r="F227">
        <v>35.015099999999997</v>
      </c>
      <c r="G227">
        <v>0.05</v>
      </c>
      <c r="H227">
        <f t="shared" si="9"/>
        <v>0.60883233315059992</v>
      </c>
      <c r="I227">
        <f t="shared" si="10"/>
        <v>0.56276409432927921</v>
      </c>
      <c r="J227">
        <f t="shared" si="11"/>
        <v>94.960000000000036</v>
      </c>
    </row>
    <row r="228" spans="1:10" x14ac:dyDescent="0.25">
      <c r="A228" t="s">
        <v>23</v>
      </c>
      <c r="B228">
        <v>80</v>
      </c>
      <c r="C228">
        <v>2061.29</v>
      </c>
      <c r="D228">
        <v>1552.28</v>
      </c>
      <c r="E228">
        <v>1471.63</v>
      </c>
      <c r="F228">
        <v>35.655700000000003</v>
      </c>
      <c r="G228">
        <v>5.2200000000000003E-2</v>
      </c>
      <c r="H228">
        <f t="shared" si="9"/>
        <v>0.75306240267017255</v>
      </c>
      <c r="I228">
        <f t="shared" si="10"/>
        <v>0.71393641845640354</v>
      </c>
      <c r="J228">
        <f t="shared" si="11"/>
        <v>80.649999999999864</v>
      </c>
    </row>
    <row r="229" spans="1:10" x14ac:dyDescent="0.25">
      <c r="A229" t="s">
        <v>23</v>
      </c>
      <c r="B229">
        <v>85</v>
      </c>
      <c r="C229">
        <v>2061.29</v>
      </c>
      <c r="D229">
        <v>1869.17</v>
      </c>
      <c r="E229">
        <v>1783.62</v>
      </c>
      <c r="F229">
        <v>37.232399999999998</v>
      </c>
      <c r="G229">
        <v>5.45E-2</v>
      </c>
      <c r="H229">
        <f t="shared" si="9"/>
        <v>0.90679622954557593</v>
      </c>
      <c r="I229">
        <f t="shared" si="10"/>
        <v>0.86529309316010838</v>
      </c>
      <c r="J229">
        <f t="shared" si="11"/>
        <v>85.550000000000182</v>
      </c>
    </row>
    <row r="230" spans="1:10" x14ac:dyDescent="0.25">
      <c r="A230" t="s">
        <v>23</v>
      </c>
      <c r="B230">
        <v>90</v>
      </c>
      <c r="C230">
        <v>2061.29</v>
      </c>
      <c r="D230">
        <v>2144.3000000000002</v>
      </c>
      <c r="E230">
        <v>2067.46</v>
      </c>
      <c r="F230">
        <v>37.482500000000002</v>
      </c>
      <c r="G230">
        <v>5.6500000000000002E-2</v>
      </c>
      <c r="H230">
        <f t="shared" si="9"/>
        <v>1.0402708983209545</v>
      </c>
      <c r="I230">
        <f t="shared" si="10"/>
        <v>1.0029932712039549</v>
      </c>
      <c r="J230">
        <f t="shared" si="11"/>
        <v>76.840000000000146</v>
      </c>
    </row>
    <row r="231" spans="1:10" x14ac:dyDescent="0.25">
      <c r="A231" t="s">
        <v>23</v>
      </c>
      <c r="B231">
        <v>95</v>
      </c>
      <c r="C231">
        <v>2061.29</v>
      </c>
      <c r="D231">
        <v>2919.24</v>
      </c>
      <c r="E231">
        <v>2785.4</v>
      </c>
      <c r="F231">
        <v>38.075800000000001</v>
      </c>
      <c r="G231">
        <v>6.1199999999999997E-2</v>
      </c>
      <c r="H231">
        <f t="shared" si="9"/>
        <v>1.4162199399405226</v>
      </c>
      <c r="I231">
        <f t="shared" si="10"/>
        <v>1.3512897263364205</v>
      </c>
      <c r="J231">
        <f t="shared" si="11"/>
        <v>133.83999999999969</v>
      </c>
    </row>
    <row r="232" spans="1:10" x14ac:dyDescent="0.25">
      <c r="A232" t="s">
        <v>23</v>
      </c>
      <c r="B232">
        <v>100</v>
      </c>
      <c r="C232">
        <v>2061.29</v>
      </c>
      <c r="D232">
        <v>4437.1899999999996</v>
      </c>
      <c r="E232">
        <v>4572.34</v>
      </c>
      <c r="F232">
        <v>41.5246</v>
      </c>
      <c r="G232">
        <v>6.5000000000000002E-2</v>
      </c>
      <c r="H232">
        <f t="shared" si="9"/>
        <v>2.152627723415919</v>
      </c>
      <c r="I232">
        <f t="shared" si="10"/>
        <v>2.2181934613761287</v>
      </c>
      <c r="J232">
        <f t="shared" si="11"/>
        <v>-135.15000000000055</v>
      </c>
    </row>
    <row r="233" spans="1:10" x14ac:dyDescent="0.25">
      <c r="A233" t="s">
        <v>13</v>
      </c>
      <c r="B233">
        <v>0</v>
      </c>
      <c r="C233">
        <v>578.6</v>
      </c>
      <c r="D233">
        <v>29.61</v>
      </c>
      <c r="E233">
        <v>26.94</v>
      </c>
      <c r="F233">
        <v>7.8150000000000004</v>
      </c>
      <c r="G233">
        <v>1.6E-2</v>
      </c>
      <c r="H233">
        <f t="shared" si="9"/>
        <v>5.11752506049084E-2</v>
      </c>
      <c r="I233">
        <f t="shared" si="10"/>
        <v>4.6560663670929828E-2</v>
      </c>
      <c r="J233">
        <f t="shared" si="11"/>
        <v>2.6699999999999982</v>
      </c>
    </row>
    <row r="234" spans="1:10" x14ac:dyDescent="0.25">
      <c r="A234" t="s">
        <v>13</v>
      </c>
      <c r="B234">
        <v>5</v>
      </c>
      <c r="C234">
        <v>578.6</v>
      </c>
      <c r="D234">
        <v>34.93</v>
      </c>
      <c r="E234">
        <v>31.61</v>
      </c>
      <c r="F234">
        <v>8.2059999999999995</v>
      </c>
      <c r="G234">
        <v>1.3299999999999999E-2</v>
      </c>
      <c r="H234">
        <f t="shared" si="9"/>
        <v>6.0369858278603521E-2</v>
      </c>
      <c r="I234">
        <f t="shared" si="10"/>
        <v>5.4631870031109572E-2</v>
      </c>
      <c r="J234">
        <f t="shared" si="11"/>
        <v>3.3200000000000003</v>
      </c>
    </row>
    <row r="235" spans="1:10" x14ac:dyDescent="0.25">
      <c r="A235" t="s">
        <v>13</v>
      </c>
      <c r="B235">
        <v>10</v>
      </c>
      <c r="C235">
        <v>578.6</v>
      </c>
      <c r="D235">
        <v>45.85</v>
      </c>
      <c r="E235">
        <v>41.29</v>
      </c>
      <c r="F235">
        <v>8.2932000000000006</v>
      </c>
      <c r="G235">
        <v>1.6E-2</v>
      </c>
      <c r="H235">
        <f t="shared" si="9"/>
        <v>7.9243000345661938E-2</v>
      </c>
      <c r="I235">
        <f t="shared" si="10"/>
        <v>7.1361908053923256E-2</v>
      </c>
      <c r="J235">
        <f t="shared" si="11"/>
        <v>4.5600000000000023</v>
      </c>
    </row>
    <row r="236" spans="1:10" x14ac:dyDescent="0.25">
      <c r="A236" t="s">
        <v>13</v>
      </c>
      <c r="B236">
        <v>15</v>
      </c>
      <c r="C236">
        <v>578.6</v>
      </c>
      <c r="D236">
        <v>55.37</v>
      </c>
      <c r="E236">
        <v>49.95</v>
      </c>
      <c r="F236">
        <v>7.9256000000000002</v>
      </c>
      <c r="G236">
        <v>1.7600000000000001E-2</v>
      </c>
      <c r="H236">
        <f t="shared" si="9"/>
        <v>9.5696508814379522E-2</v>
      </c>
      <c r="I236">
        <f t="shared" si="10"/>
        <v>8.6329070169374356E-2</v>
      </c>
      <c r="J236">
        <f t="shared" si="11"/>
        <v>5.4199999999999946</v>
      </c>
    </row>
    <row r="237" spans="1:10" x14ac:dyDescent="0.25">
      <c r="A237" t="s">
        <v>13</v>
      </c>
      <c r="B237">
        <v>20</v>
      </c>
      <c r="C237">
        <v>578.6</v>
      </c>
      <c r="D237">
        <v>63.67</v>
      </c>
      <c r="E237">
        <v>57.37</v>
      </c>
      <c r="F237">
        <v>7.9459999999999997</v>
      </c>
      <c r="G237">
        <v>1.6E-2</v>
      </c>
      <c r="H237">
        <f t="shared" si="9"/>
        <v>0.11004147943311442</v>
      </c>
      <c r="I237">
        <f t="shared" si="10"/>
        <v>9.9153128240580701E-2</v>
      </c>
      <c r="J237">
        <f t="shared" si="11"/>
        <v>6.3000000000000043</v>
      </c>
    </row>
    <row r="238" spans="1:10" x14ac:dyDescent="0.25">
      <c r="A238" t="s">
        <v>13</v>
      </c>
      <c r="B238">
        <v>25</v>
      </c>
      <c r="C238">
        <v>578.6</v>
      </c>
      <c r="D238">
        <v>71.69</v>
      </c>
      <c r="E238">
        <v>64.52</v>
      </c>
      <c r="F238">
        <v>7.9827000000000004</v>
      </c>
      <c r="G238">
        <v>1.6E-2</v>
      </c>
      <c r="H238">
        <f t="shared" si="9"/>
        <v>0.12390252333218112</v>
      </c>
      <c r="I238">
        <f t="shared" si="10"/>
        <v>0.1115105426892499</v>
      </c>
      <c r="J238">
        <f t="shared" si="11"/>
        <v>7.1700000000000017</v>
      </c>
    </row>
    <row r="239" spans="1:10" x14ac:dyDescent="0.25">
      <c r="A239" t="s">
        <v>13</v>
      </c>
      <c r="B239">
        <v>30</v>
      </c>
      <c r="C239">
        <v>578.6</v>
      </c>
      <c r="D239">
        <v>79.12</v>
      </c>
      <c r="E239">
        <v>71.27</v>
      </c>
      <c r="F239">
        <v>8.4812999999999992</v>
      </c>
      <c r="G239">
        <v>1.7999999999999999E-2</v>
      </c>
      <c r="H239">
        <f t="shared" si="9"/>
        <v>0.13674386450051851</v>
      </c>
      <c r="I239">
        <f t="shared" si="10"/>
        <v>0.12317663325267887</v>
      </c>
      <c r="J239">
        <f t="shared" si="11"/>
        <v>7.8500000000000085</v>
      </c>
    </row>
    <row r="240" spans="1:10" x14ac:dyDescent="0.25">
      <c r="A240" t="s">
        <v>13</v>
      </c>
      <c r="B240">
        <v>35</v>
      </c>
      <c r="C240">
        <v>578.6</v>
      </c>
      <c r="D240">
        <v>86.07</v>
      </c>
      <c r="E240">
        <v>77.77</v>
      </c>
      <c r="F240">
        <v>7.9946999999999999</v>
      </c>
      <c r="G240">
        <v>1.7999999999999999E-2</v>
      </c>
      <c r="H240">
        <f t="shared" si="9"/>
        <v>0.14875561700656756</v>
      </c>
      <c r="I240">
        <f t="shared" si="10"/>
        <v>0.13441064638783268</v>
      </c>
      <c r="J240">
        <f t="shared" si="11"/>
        <v>8.2999999999999972</v>
      </c>
    </row>
    <row r="241" spans="1:10" x14ac:dyDescent="0.25">
      <c r="A241" t="s">
        <v>13</v>
      </c>
      <c r="B241">
        <v>40</v>
      </c>
      <c r="C241">
        <v>578.6</v>
      </c>
      <c r="D241">
        <v>92.09</v>
      </c>
      <c r="E241">
        <v>83.19</v>
      </c>
      <c r="F241">
        <v>8.0717999999999996</v>
      </c>
      <c r="G241">
        <v>1.7000000000000001E-2</v>
      </c>
      <c r="H241">
        <f t="shared" si="9"/>
        <v>0.15916004147943311</v>
      </c>
      <c r="I241">
        <f t="shared" si="10"/>
        <v>0.14377808503283787</v>
      </c>
      <c r="J241">
        <f t="shared" si="11"/>
        <v>8.9000000000000057</v>
      </c>
    </row>
    <row r="242" spans="1:10" x14ac:dyDescent="0.25">
      <c r="A242" t="s">
        <v>13</v>
      </c>
      <c r="B242">
        <v>45</v>
      </c>
      <c r="C242">
        <v>578.6</v>
      </c>
      <c r="D242">
        <v>99.19</v>
      </c>
      <c r="E242">
        <v>89.73</v>
      </c>
      <c r="F242">
        <v>8.1181000000000001</v>
      </c>
      <c r="G242">
        <v>1.4500000000000001E-2</v>
      </c>
      <c r="H242">
        <f t="shared" si="9"/>
        <v>0.17143104044244728</v>
      </c>
      <c r="I242">
        <f t="shared" si="10"/>
        <v>0.15508123055651574</v>
      </c>
      <c r="J242">
        <f t="shared" si="11"/>
        <v>9.4599999999999937</v>
      </c>
    </row>
    <row r="243" spans="1:10" x14ac:dyDescent="0.25">
      <c r="A243" t="s">
        <v>13</v>
      </c>
      <c r="B243">
        <v>50</v>
      </c>
      <c r="C243">
        <v>578.6</v>
      </c>
      <c r="D243">
        <v>105.05</v>
      </c>
      <c r="E243">
        <v>95.19</v>
      </c>
      <c r="F243">
        <v>8.5082000000000004</v>
      </c>
      <c r="G243">
        <v>1.7999999999999999E-2</v>
      </c>
      <c r="H243">
        <f t="shared" si="9"/>
        <v>0.18155893536121673</v>
      </c>
      <c r="I243">
        <f t="shared" si="10"/>
        <v>0.16451780159004492</v>
      </c>
      <c r="J243">
        <f t="shared" si="11"/>
        <v>9.86</v>
      </c>
    </row>
    <row r="244" spans="1:10" x14ac:dyDescent="0.25">
      <c r="A244" t="s">
        <v>13</v>
      </c>
      <c r="B244">
        <v>55</v>
      </c>
      <c r="C244">
        <v>578.6</v>
      </c>
      <c r="D244">
        <v>110.95</v>
      </c>
      <c r="E244">
        <v>100.84</v>
      </c>
      <c r="F244">
        <v>8.1051000000000002</v>
      </c>
      <c r="G244">
        <v>1.7000000000000001E-2</v>
      </c>
      <c r="H244">
        <f t="shared" si="9"/>
        <v>0.19175596266851019</v>
      </c>
      <c r="I244">
        <f t="shared" si="10"/>
        <v>0.17428275146906325</v>
      </c>
      <c r="J244">
        <f t="shared" si="11"/>
        <v>10.11</v>
      </c>
    </row>
    <row r="245" spans="1:10" x14ac:dyDescent="0.25">
      <c r="A245" t="s">
        <v>13</v>
      </c>
      <c r="B245">
        <v>60</v>
      </c>
      <c r="C245">
        <v>578.6</v>
      </c>
      <c r="D245">
        <v>118.63</v>
      </c>
      <c r="E245">
        <v>108.14</v>
      </c>
      <c r="F245">
        <v>8.1414000000000009</v>
      </c>
      <c r="G245">
        <v>1.61E-2</v>
      </c>
      <c r="H245">
        <f t="shared" si="9"/>
        <v>0.20502938126512268</v>
      </c>
      <c r="I245">
        <f t="shared" si="10"/>
        <v>0.18689941237469754</v>
      </c>
      <c r="J245">
        <f t="shared" si="11"/>
        <v>10.489999999999995</v>
      </c>
    </row>
    <row r="246" spans="1:10" x14ac:dyDescent="0.25">
      <c r="A246" t="s">
        <v>13</v>
      </c>
      <c r="B246">
        <v>65</v>
      </c>
      <c r="C246">
        <v>578.6</v>
      </c>
      <c r="D246">
        <v>128.9</v>
      </c>
      <c r="E246">
        <v>117.37</v>
      </c>
      <c r="F246">
        <v>8.1643000000000008</v>
      </c>
      <c r="G246">
        <v>1.9E-2</v>
      </c>
      <c r="H246">
        <f t="shared" si="9"/>
        <v>0.22277912201866576</v>
      </c>
      <c r="I246">
        <f t="shared" si="10"/>
        <v>0.20285171102661598</v>
      </c>
      <c r="J246">
        <f t="shared" si="11"/>
        <v>11.530000000000001</v>
      </c>
    </row>
    <row r="247" spans="1:10" x14ac:dyDescent="0.25">
      <c r="A247" t="s">
        <v>13</v>
      </c>
      <c r="B247">
        <v>70</v>
      </c>
      <c r="C247">
        <v>578.6</v>
      </c>
      <c r="D247">
        <v>140.41</v>
      </c>
      <c r="E247">
        <v>128.47999999999999</v>
      </c>
      <c r="F247">
        <v>8.6601999999999997</v>
      </c>
      <c r="G247">
        <v>1.9E-2</v>
      </c>
      <c r="H247">
        <f t="shared" si="9"/>
        <v>0.2426719668164535</v>
      </c>
      <c r="I247">
        <f t="shared" si="10"/>
        <v>0.22205323193916346</v>
      </c>
      <c r="J247">
        <f t="shared" si="11"/>
        <v>11.930000000000007</v>
      </c>
    </row>
    <row r="248" spans="1:10" x14ac:dyDescent="0.25">
      <c r="A248" t="s">
        <v>13</v>
      </c>
      <c r="B248">
        <v>75</v>
      </c>
      <c r="C248">
        <v>578.6</v>
      </c>
      <c r="D248">
        <v>154.05000000000001</v>
      </c>
      <c r="E248">
        <v>141.32</v>
      </c>
      <c r="F248">
        <v>8.2386999999999997</v>
      </c>
      <c r="G248">
        <v>1.7000000000000001E-2</v>
      </c>
      <c r="H248">
        <f t="shared" si="9"/>
        <v>0.26624611130314552</v>
      </c>
      <c r="I248">
        <f t="shared" si="10"/>
        <v>0.24424472865537503</v>
      </c>
      <c r="J248">
        <f t="shared" si="11"/>
        <v>12.730000000000018</v>
      </c>
    </row>
    <row r="249" spans="1:10" x14ac:dyDescent="0.25">
      <c r="A249" t="s">
        <v>13</v>
      </c>
      <c r="B249">
        <v>80</v>
      </c>
      <c r="C249">
        <v>578.6</v>
      </c>
      <c r="D249">
        <v>176.29</v>
      </c>
      <c r="E249">
        <v>162.26</v>
      </c>
      <c r="F249">
        <v>8.7001000000000008</v>
      </c>
      <c r="G249">
        <v>1.8599999999999998E-2</v>
      </c>
      <c r="H249">
        <f t="shared" si="9"/>
        <v>0.30468371932250254</v>
      </c>
      <c r="I249">
        <f t="shared" si="10"/>
        <v>0.28043553404770133</v>
      </c>
      <c r="J249">
        <f t="shared" si="11"/>
        <v>14.030000000000001</v>
      </c>
    </row>
    <row r="250" spans="1:10" x14ac:dyDescent="0.25">
      <c r="A250" t="s">
        <v>13</v>
      </c>
      <c r="B250">
        <v>85</v>
      </c>
      <c r="C250">
        <v>578.6</v>
      </c>
      <c r="D250">
        <v>208.26</v>
      </c>
      <c r="E250">
        <v>192.6</v>
      </c>
      <c r="F250">
        <v>8.4281000000000006</v>
      </c>
      <c r="G250">
        <v>1.7000000000000001E-2</v>
      </c>
      <c r="H250">
        <f t="shared" si="9"/>
        <v>0.35993778085032835</v>
      </c>
      <c r="I250">
        <f t="shared" si="10"/>
        <v>0.33287245074317318</v>
      </c>
      <c r="J250">
        <f t="shared" si="11"/>
        <v>15.659999999999997</v>
      </c>
    </row>
    <row r="251" spans="1:10" x14ac:dyDescent="0.25">
      <c r="A251" t="s">
        <v>13</v>
      </c>
      <c r="B251">
        <v>90</v>
      </c>
      <c r="C251">
        <v>578.6</v>
      </c>
      <c r="D251">
        <v>270.85000000000002</v>
      </c>
      <c r="E251">
        <v>249.98</v>
      </c>
      <c r="F251">
        <v>8.5797000000000008</v>
      </c>
      <c r="G251">
        <v>1.7000000000000001E-2</v>
      </c>
      <c r="H251">
        <f t="shared" si="9"/>
        <v>0.46811268579329418</v>
      </c>
      <c r="I251">
        <f t="shared" si="10"/>
        <v>0.43204286208088488</v>
      </c>
      <c r="J251">
        <f t="shared" si="11"/>
        <v>20.870000000000033</v>
      </c>
    </row>
    <row r="252" spans="1:10" x14ac:dyDescent="0.25">
      <c r="A252" t="s">
        <v>13</v>
      </c>
      <c r="B252">
        <v>95</v>
      </c>
      <c r="C252">
        <v>578.6</v>
      </c>
      <c r="D252">
        <v>422.64</v>
      </c>
      <c r="E252">
        <v>387.51</v>
      </c>
      <c r="F252">
        <v>9.0188000000000006</v>
      </c>
      <c r="G252">
        <v>1.7999999999999999E-2</v>
      </c>
      <c r="H252">
        <f t="shared" si="9"/>
        <v>0.73045281714483234</v>
      </c>
      <c r="I252">
        <f t="shared" si="10"/>
        <v>0.66973729692360862</v>
      </c>
      <c r="J252">
        <f t="shared" si="11"/>
        <v>35.129999999999995</v>
      </c>
    </row>
    <row r="253" spans="1:10" x14ac:dyDescent="0.25">
      <c r="A253" t="s">
        <v>13</v>
      </c>
      <c r="B253">
        <v>100</v>
      </c>
      <c r="C253">
        <v>578.6</v>
      </c>
      <c r="D253">
        <v>869.53</v>
      </c>
      <c r="E253">
        <v>912.6</v>
      </c>
      <c r="F253">
        <v>11.0518</v>
      </c>
      <c r="G253">
        <v>2.01E-2</v>
      </c>
      <c r="H253">
        <f t="shared" si="9"/>
        <v>1.502817144832354</v>
      </c>
      <c r="I253">
        <f t="shared" si="10"/>
        <v>1.5772554441755962</v>
      </c>
      <c r="J253">
        <f t="shared" si="11"/>
        <v>-43.07000000000005</v>
      </c>
    </row>
    <row r="254" spans="1:10" x14ac:dyDescent="0.25">
      <c r="A254" t="s">
        <v>12</v>
      </c>
      <c r="B254">
        <v>0</v>
      </c>
      <c r="C254">
        <v>355.14</v>
      </c>
      <c r="D254">
        <v>42.46</v>
      </c>
      <c r="E254">
        <v>38.299999999999997</v>
      </c>
      <c r="F254">
        <v>8.1486000000000001</v>
      </c>
      <c r="G254">
        <v>1.4999999999999999E-2</v>
      </c>
      <c r="H254">
        <f t="shared" si="9"/>
        <v>0.11955848397814947</v>
      </c>
      <c r="I254">
        <f t="shared" si="10"/>
        <v>0.10784479360252294</v>
      </c>
      <c r="J254">
        <f t="shared" si="11"/>
        <v>4.1600000000000037</v>
      </c>
    </row>
    <row r="255" spans="1:10" x14ac:dyDescent="0.25">
      <c r="A255" t="s">
        <v>12</v>
      </c>
      <c r="B255">
        <v>5</v>
      </c>
      <c r="C255">
        <v>355.14</v>
      </c>
      <c r="D255">
        <v>51</v>
      </c>
      <c r="E255">
        <v>45.85</v>
      </c>
      <c r="F255">
        <v>8.1273</v>
      </c>
      <c r="G255">
        <v>1.6E-2</v>
      </c>
      <c r="H255">
        <f t="shared" si="9"/>
        <v>0.14360533873965198</v>
      </c>
      <c r="I255">
        <f t="shared" si="10"/>
        <v>0.1291040153179028</v>
      </c>
      <c r="J255">
        <f t="shared" si="11"/>
        <v>5.1499999999999986</v>
      </c>
    </row>
    <row r="256" spans="1:10" x14ac:dyDescent="0.25">
      <c r="A256" t="s">
        <v>12</v>
      </c>
      <c r="B256">
        <v>10</v>
      </c>
      <c r="C256">
        <v>355.14</v>
      </c>
      <c r="D256">
        <v>69.95</v>
      </c>
      <c r="E256">
        <v>62.59</v>
      </c>
      <c r="F256">
        <v>8.2559000000000005</v>
      </c>
      <c r="G256">
        <v>1.6E-2</v>
      </c>
      <c r="H256">
        <f t="shared" si="9"/>
        <v>0.19696457734977757</v>
      </c>
      <c r="I256">
        <f t="shared" si="10"/>
        <v>0.17624035591597681</v>
      </c>
      <c r="J256">
        <f t="shared" si="11"/>
        <v>7.3599999999999994</v>
      </c>
    </row>
    <row r="257" spans="1:10" x14ac:dyDescent="0.25">
      <c r="A257" t="s">
        <v>12</v>
      </c>
      <c r="B257">
        <v>15</v>
      </c>
      <c r="C257">
        <v>355.14</v>
      </c>
      <c r="D257">
        <v>86.1</v>
      </c>
      <c r="E257">
        <v>77.56</v>
      </c>
      <c r="F257">
        <v>8.4732000000000003</v>
      </c>
      <c r="G257">
        <v>1.4999999999999999E-2</v>
      </c>
      <c r="H257">
        <f t="shared" si="9"/>
        <v>0.24243960128400066</v>
      </c>
      <c r="I257">
        <f t="shared" si="10"/>
        <v>0.21839274652249818</v>
      </c>
      <c r="J257">
        <f t="shared" si="11"/>
        <v>8.539999999999992</v>
      </c>
    </row>
    <row r="258" spans="1:10" x14ac:dyDescent="0.25">
      <c r="A258" t="s">
        <v>12</v>
      </c>
      <c r="B258">
        <v>20</v>
      </c>
      <c r="C258">
        <v>355.14</v>
      </c>
      <c r="D258">
        <v>101.12</v>
      </c>
      <c r="E258">
        <v>91.11</v>
      </c>
      <c r="F258">
        <v>8.3355999999999995</v>
      </c>
      <c r="G258">
        <v>1.7000000000000001E-2</v>
      </c>
      <c r="H258">
        <f t="shared" si="9"/>
        <v>0.28473278143830605</v>
      </c>
      <c r="I258">
        <f t="shared" si="10"/>
        <v>0.25654671397195472</v>
      </c>
      <c r="J258">
        <f t="shared" si="11"/>
        <v>10.010000000000005</v>
      </c>
    </row>
    <row r="259" spans="1:10" x14ac:dyDescent="0.25">
      <c r="A259" t="s">
        <v>12</v>
      </c>
      <c r="B259">
        <v>25</v>
      </c>
      <c r="C259">
        <v>355.14</v>
      </c>
      <c r="D259">
        <v>115.61</v>
      </c>
      <c r="E259">
        <v>104.54</v>
      </c>
      <c r="F259">
        <v>8.3948999999999998</v>
      </c>
      <c r="G259">
        <v>1.67E-2</v>
      </c>
      <c r="H259">
        <f t="shared" ref="H259:H322" si="12">D259/C259</f>
        <v>0.32553359238610124</v>
      </c>
      <c r="I259">
        <f t="shared" ref="I259:I322" si="13">E259/C259</f>
        <v>0.29436278650672976</v>
      </c>
      <c r="J259">
        <f t="shared" ref="J259:J322" si="14">D259-E259</f>
        <v>11.069999999999993</v>
      </c>
    </row>
    <row r="260" spans="1:10" x14ac:dyDescent="0.25">
      <c r="A260" t="s">
        <v>12</v>
      </c>
      <c r="B260">
        <v>30</v>
      </c>
      <c r="C260">
        <v>355.14</v>
      </c>
      <c r="D260">
        <v>128.36000000000001</v>
      </c>
      <c r="E260">
        <v>116.27</v>
      </c>
      <c r="F260">
        <v>8.9476999999999993</v>
      </c>
      <c r="G260">
        <v>1.4999999999999999E-2</v>
      </c>
      <c r="H260">
        <f t="shared" si="12"/>
        <v>0.36143492707101432</v>
      </c>
      <c r="I260">
        <f t="shared" si="13"/>
        <v>0.32739201441684967</v>
      </c>
      <c r="J260">
        <f t="shared" si="14"/>
        <v>12.090000000000018</v>
      </c>
    </row>
    <row r="261" spans="1:10" x14ac:dyDescent="0.25">
      <c r="A261" t="s">
        <v>12</v>
      </c>
      <c r="B261">
        <v>35</v>
      </c>
      <c r="C261">
        <v>355.14</v>
      </c>
      <c r="D261">
        <v>143.63</v>
      </c>
      <c r="E261">
        <v>130.87</v>
      </c>
      <c r="F261">
        <v>8.5016999999999996</v>
      </c>
      <c r="G261">
        <v>1.7000000000000001E-2</v>
      </c>
      <c r="H261">
        <f t="shared" si="12"/>
        <v>0.40443205496423945</v>
      </c>
      <c r="I261">
        <f t="shared" si="13"/>
        <v>0.36850256236976969</v>
      </c>
      <c r="J261">
        <f t="shared" si="14"/>
        <v>12.759999999999991</v>
      </c>
    </row>
    <row r="262" spans="1:10" x14ac:dyDescent="0.25">
      <c r="A262" t="s">
        <v>12</v>
      </c>
      <c r="B262">
        <v>40</v>
      </c>
      <c r="C262">
        <v>355.14</v>
      </c>
      <c r="D262">
        <v>152.9</v>
      </c>
      <c r="E262">
        <v>139.31</v>
      </c>
      <c r="F262">
        <v>8.5257000000000005</v>
      </c>
      <c r="G262">
        <v>1.6E-2</v>
      </c>
      <c r="H262">
        <f t="shared" si="12"/>
        <v>0.43053443712338801</v>
      </c>
      <c r="I262">
        <f t="shared" si="13"/>
        <v>0.39226783803570425</v>
      </c>
      <c r="J262">
        <f t="shared" si="14"/>
        <v>13.590000000000003</v>
      </c>
    </row>
    <row r="263" spans="1:10" x14ac:dyDescent="0.25">
      <c r="A263" t="s">
        <v>12</v>
      </c>
      <c r="B263">
        <v>45</v>
      </c>
      <c r="C263">
        <v>355.14</v>
      </c>
      <c r="D263">
        <v>162.57</v>
      </c>
      <c r="E263">
        <v>147.97</v>
      </c>
      <c r="F263">
        <v>8.516</v>
      </c>
      <c r="G263">
        <v>1.4999999999999999E-2</v>
      </c>
      <c r="H263">
        <f t="shared" si="12"/>
        <v>0.45776313566480825</v>
      </c>
      <c r="I263">
        <f t="shared" si="13"/>
        <v>0.41665258771188829</v>
      </c>
      <c r="J263">
        <f t="shared" si="14"/>
        <v>14.599999999999994</v>
      </c>
    </row>
    <row r="264" spans="1:10" x14ac:dyDescent="0.25">
      <c r="A264" t="s">
        <v>12</v>
      </c>
      <c r="B264">
        <v>50</v>
      </c>
      <c r="C264">
        <v>355.14</v>
      </c>
      <c r="D264">
        <v>172.26</v>
      </c>
      <c r="E264">
        <v>157.1</v>
      </c>
      <c r="F264">
        <v>9.1832999999999991</v>
      </c>
      <c r="G264">
        <v>1.7999999999999999E-2</v>
      </c>
      <c r="H264">
        <f t="shared" si="12"/>
        <v>0.48504815002534213</v>
      </c>
      <c r="I264">
        <f t="shared" si="13"/>
        <v>0.44236075913724165</v>
      </c>
      <c r="J264">
        <f t="shared" si="14"/>
        <v>15.159999999999997</v>
      </c>
    </row>
    <row r="265" spans="1:10" x14ac:dyDescent="0.25">
      <c r="A265" t="s">
        <v>12</v>
      </c>
      <c r="B265">
        <v>55</v>
      </c>
      <c r="C265">
        <v>355.14</v>
      </c>
      <c r="D265">
        <v>184.4</v>
      </c>
      <c r="E265">
        <v>168.43</v>
      </c>
      <c r="F265">
        <v>8.6247000000000007</v>
      </c>
      <c r="G265">
        <v>1.4999999999999999E-2</v>
      </c>
      <c r="H265">
        <f t="shared" si="12"/>
        <v>0.51923185222729074</v>
      </c>
      <c r="I265">
        <f t="shared" si="13"/>
        <v>0.47426367066508984</v>
      </c>
      <c r="J265">
        <f t="shared" si="14"/>
        <v>15.969999999999999</v>
      </c>
    </row>
    <row r="266" spans="1:10" x14ac:dyDescent="0.25">
      <c r="A266" t="s">
        <v>12</v>
      </c>
      <c r="B266">
        <v>60</v>
      </c>
      <c r="C266">
        <v>355.14</v>
      </c>
      <c r="D266">
        <v>200.45</v>
      </c>
      <c r="E266">
        <v>184.36</v>
      </c>
      <c r="F266">
        <v>8.6252999999999993</v>
      </c>
      <c r="G266">
        <v>1.6E-2</v>
      </c>
      <c r="H266">
        <f t="shared" si="12"/>
        <v>0.5644252970659458</v>
      </c>
      <c r="I266">
        <f t="shared" si="13"/>
        <v>0.51911922058906357</v>
      </c>
      <c r="J266">
        <f t="shared" si="14"/>
        <v>16.089999999999975</v>
      </c>
    </row>
    <row r="267" spans="1:10" x14ac:dyDescent="0.25">
      <c r="A267" t="s">
        <v>12</v>
      </c>
      <c r="B267">
        <v>65</v>
      </c>
      <c r="C267">
        <v>355.14</v>
      </c>
      <c r="D267">
        <v>224.53</v>
      </c>
      <c r="E267">
        <v>206.41</v>
      </c>
      <c r="F267">
        <v>8.7861999999999991</v>
      </c>
      <c r="G267">
        <v>1.7999999999999999E-2</v>
      </c>
      <c r="H267">
        <f t="shared" si="12"/>
        <v>0.63222954327870706</v>
      </c>
      <c r="I267">
        <f t="shared" si="13"/>
        <v>0.58120741116179531</v>
      </c>
      <c r="J267">
        <f t="shared" si="14"/>
        <v>18.120000000000005</v>
      </c>
    </row>
    <row r="268" spans="1:10" x14ac:dyDescent="0.25">
      <c r="A268" t="s">
        <v>12</v>
      </c>
      <c r="B268">
        <v>70</v>
      </c>
      <c r="C268">
        <v>355.14</v>
      </c>
      <c r="D268">
        <v>243.01</v>
      </c>
      <c r="E268">
        <v>223.28</v>
      </c>
      <c r="F268">
        <v>9.1819000000000006</v>
      </c>
      <c r="G268">
        <v>1.6E-2</v>
      </c>
      <c r="H268">
        <f t="shared" si="12"/>
        <v>0.68426536013966321</v>
      </c>
      <c r="I268">
        <f t="shared" si="13"/>
        <v>0.62870980458410775</v>
      </c>
      <c r="J268">
        <f t="shared" si="14"/>
        <v>19.72999999999999</v>
      </c>
    </row>
    <row r="269" spans="1:10" x14ac:dyDescent="0.25">
      <c r="A269" t="s">
        <v>12</v>
      </c>
      <c r="B269">
        <v>75</v>
      </c>
      <c r="C269">
        <v>355.14</v>
      </c>
      <c r="D269">
        <v>267.95</v>
      </c>
      <c r="E269">
        <v>246.82</v>
      </c>
      <c r="F269">
        <v>8.8737999999999992</v>
      </c>
      <c r="G269">
        <v>1.7999999999999999E-2</v>
      </c>
      <c r="H269">
        <f t="shared" si="12"/>
        <v>0.75449118657430869</v>
      </c>
      <c r="I269">
        <f t="shared" si="13"/>
        <v>0.69499352368080192</v>
      </c>
      <c r="J269">
        <f t="shared" si="14"/>
        <v>21.129999999999995</v>
      </c>
    </row>
    <row r="270" spans="1:10" x14ac:dyDescent="0.25">
      <c r="A270" t="s">
        <v>12</v>
      </c>
      <c r="B270">
        <v>80</v>
      </c>
      <c r="C270">
        <v>355.14</v>
      </c>
      <c r="D270">
        <v>305.85000000000002</v>
      </c>
      <c r="E270">
        <v>282.42</v>
      </c>
      <c r="F270">
        <v>9.0147999999999993</v>
      </c>
      <c r="G270">
        <v>1.9E-2</v>
      </c>
      <c r="H270">
        <f t="shared" si="12"/>
        <v>0.86120966379455999</v>
      </c>
      <c r="I270">
        <f t="shared" si="13"/>
        <v>0.79523568170299042</v>
      </c>
      <c r="J270">
        <f t="shared" si="14"/>
        <v>23.430000000000007</v>
      </c>
    </row>
    <row r="271" spans="1:10" x14ac:dyDescent="0.25">
      <c r="A271" t="s">
        <v>12</v>
      </c>
      <c r="B271">
        <v>85</v>
      </c>
      <c r="C271">
        <v>355.14</v>
      </c>
      <c r="D271">
        <v>341.14</v>
      </c>
      <c r="E271">
        <v>315.79000000000002</v>
      </c>
      <c r="F271">
        <v>9.2258999999999993</v>
      </c>
      <c r="G271">
        <v>1.9099999999999999E-2</v>
      </c>
      <c r="H271">
        <f t="shared" si="12"/>
        <v>0.96057892662048772</v>
      </c>
      <c r="I271">
        <f t="shared" si="13"/>
        <v>0.88919862589401377</v>
      </c>
      <c r="J271">
        <f t="shared" si="14"/>
        <v>25.349999999999966</v>
      </c>
    </row>
    <row r="272" spans="1:10" x14ac:dyDescent="0.25">
      <c r="A272" t="s">
        <v>12</v>
      </c>
      <c r="B272">
        <v>90</v>
      </c>
      <c r="C272">
        <v>355.14</v>
      </c>
      <c r="D272">
        <v>404.63</v>
      </c>
      <c r="E272">
        <v>373.58</v>
      </c>
      <c r="F272">
        <v>9.2019000000000002</v>
      </c>
      <c r="G272">
        <v>1.7999999999999999E-2</v>
      </c>
      <c r="H272">
        <f t="shared" si="12"/>
        <v>1.139353494396576</v>
      </c>
      <c r="I272">
        <f t="shared" si="13"/>
        <v>1.0519231852227291</v>
      </c>
      <c r="J272">
        <f t="shared" si="14"/>
        <v>31.050000000000011</v>
      </c>
    </row>
    <row r="273" spans="1:10" x14ac:dyDescent="0.25">
      <c r="A273" t="s">
        <v>12</v>
      </c>
      <c r="B273">
        <v>95</v>
      </c>
      <c r="C273">
        <v>355.14</v>
      </c>
      <c r="D273">
        <v>541.35</v>
      </c>
      <c r="E273">
        <v>501.45</v>
      </c>
      <c r="F273">
        <v>9.2150999999999996</v>
      </c>
      <c r="G273">
        <v>2.3099999999999999E-2</v>
      </c>
      <c r="H273">
        <f t="shared" si="12"/>
        <v>1.5243284338570706</v>
      </c>
      <c r="I273">
        <f t="shared" si="13"/>
        <v>1.4119783747254604</v>
      </c>
      <c r="J273">
        <f t="shared" si="14"/>
        <v>39.900000000000034</v>
      </c>
    </row>
    <row r="274" spans="1:10" x14ac:dyDescent="0.25">
      <c r="A274" t="s">
        <v>12</v>
      </c>
      <c r="B274">
        <v>100</v>
      </c>
      <c r="C274">
        <v>355.14</v>
      </c>
      <c r="D274">
        <v>810.42</v>
      </c>
      <c r="E274">
        <v>866.16</v>
      </c>
      <c r="F274">
        <v>10.201700000000001</v>
      </c>
      <c r="G274">
        <v>1.9E-2</v>
      </c>
      <c r="H274">
        <f t="shared" si="12"/>
        <v>2.2819733063017402</v>
      </c>
      <c r="I274">
        <f t="shared" si="13"/>
        <v>2.4389254941713125</v>
      </c>
      <c r="J274">
        <f t="shared" si="14"/>
        <v>-55.740000000000009</v>
      </c>
    </row>
    <row r="275" spans="1:10" x14ac:dyDescent="0.25">
      <c r="A275" t="s">
        <v>24</v>
      </c>
      <c r="B275">
        <v>0</v>
      </c>
      <c r="C275">
        <v>1163.92</v>
      </c>
      <c r="D275">
        <v>16.07</v>
      </c>
      <c r="E275">
        <v>14.8</v>
      </c>
      <c r="F275">
        <v>3.9270999999999998</v>
      </c>
      <c r="G275">
        <v>1.6E-2</v>
      </c>
      <c r="H275">
        <f t="shared" si="12"/>
        <v>1.3806790844731597E-2</v>
      </c>
      <c r="I275">
        <f t="shared" si="13"/>
        <v>1.2715650560175956E-2</v>
      </c>
      <c r="J275">
        <f t="shared" si="14"/>
        <v>1.2699999999999996</v>
      </c>
    </row>
    <row r="276" spans="1:10" x14ac:dyDescent="0.25">
      <c r="A276" t="s">
        <v>24</v>
      </c>
      <c r="B276">
        <v>5</v>
      </c>
      <c r="C276">
        <v>1163.92</v>
      </c>
      <c r="D276">
        <v>18.63</v>
      </c>
      <c r="E276">
        <v>17.11</v>
      </c>
      <c r="F276">
        <v>3.9723999999999999</v>
      </c>
      <c r="G276">
        <v>1.9E-2</v>
      </c>
      <c r="H276">
        <f t="shared" si="12"/>
        <v>1.600625472541068E-2</v>
      </c>
      <c r="I276">
        <f t="shared" si="13"/>
        <v>1.4700323046257473E-2</v>
      </c>
      <c r="J276">
        <f t="shared" si="14"/>
        <v>1.5199999999999996</v>
      </c>
    </row>
    <row r="277" spans="1:10" x14ac:dyDescent="0.25">
      <c r="A277" t="s">
        <v>24</v>
      </c>
      <c r="B277">
        <v>10</v>
      </c>
      <c r="C277">
        <v>1163.92</v>
      </c>
      <c r="D277">
        <v>24.86</v>
      </c>
      <c r="E277">
        <v>22.88</v>
      </c>
      <c r="F277">
        <v>4.0349000000000004</v>
      </c>
      <c r="G277">
        <v>1.9E-2</v>
      </c>
      <c r="H277">
        <f t="shared" si="12"/>
        <v>2.1358856278782045E-2</v>
      </c>
      <c r="I277">
        <f t="shared" si="13"/>
        <v>1.9657708433569315E-2</v>
      </c>
      <c r="J277">
        <f t="shared" si="14"/>
        <v>1.9800000000000004</v>
      </c>
    </row>
    <row r="278" spans="1:10" x14ac:dyDescent="0.25">
      <c r="A278" t="s">
        <v>24</v>
      </c>
      <c r="B278">
        <v>15</v>
      </c>
      <c r="C278">
        <v>1163.92</v>
      </c>
      <c r="D278">
        <v>31.01</v>
      </c>
      <c r="E278">
        <v>28.57</v>
      </c>
      <c r="F278">
        <v>4.4252000000000002</v>
      </c>
      <c r="G278">
        <v>2.7E-2</v>
      </c>
      <c r="H278">
        <f t="shared" si="12"/>
        <v>2.664272458588219E-2</v>
      </c>
      <c r="I278">
        <f t="shared" si="13"/>
        <v>2.4546360574609939E-2</v>
      </c>
      <c r="J278">
        <f t="shared" si="14"/>
        <v>2.4400000000000013</v>
      </c>
    </row>
    <row r="279" spans="1:10" x14ac:dyDescent="0.25">
      <c r="A279" t="s">
        <v>24</v>
      </c>
      <c r="B279">
        <v>20</v>
      </c>
      <c r="C279">
        <v>1163.92</v>
      </c>
      <c r="D279">
        <v>36.72</v>
      </c>
      <c r="E279">
        <v>33.770000000000003</v>
      </c>
      <c r="F279">
        <v>4.0022000000000002</v>
      </c>
      <c r="G279">
        <v>1.9099999999999999E-2</v>
      </c>
      <c r="H279">
        <f t="shared" si="12"/>
        <v>3.1548560038490617E-2</v>
      </c>
      <c r="I279">
        <f t="shared" si="13"/>
        <v>2.9014021582239331E-2</v>
      </c>
      <c r="J279">
        <f t="shared" si="14"/>
        <v>2.9499999999999957</v>
      </c>
    </row>
    <row r="280" spans="1:10" x14ac:dyDescent="0.25">
      <c r="A280" t="s">
        <v>24</v>
      </c>
      <c r="B280">
        <v>25</v>
      </c>
      <c r="C280">
        <v>1163.92</v>
      </c>
      <c r="D280">
        <v>42.22</v>
      </c>
      <c r="E280">
        <v>38.82</v>
      </c>
      <c r="F280">
        <v>4.0190000000000001</v>
      </c>
      <c r="G280">
        <v>1.7999999999999999E-2</v>
      </c>
      <c r="H280">
        <f t="shared" si="12"/>
        <v>3.6273970719637089E-2</v>
      </c>
      <c r="I280">
        <f t="shared" si="13"/>
        <v>3.3352807753110177E-2</v>
      </c>
      <c r="J280">
        <f t="shared" si="14"/>
        <v>3.3999999999999986</v>
      </c>
    </row>
    <row r="281" spans="1:10" x14ac:dyDescent="0.25">
      <c r="A281" t="s">
        <v>24</v>
      </c>
      <c r="B281">
        <v>30</v>
      </c>
      <c r="C281">
        <v>1163.92</v>
      </c>
      <c r="D281">
        <v>47.46</v>
      </c>
      <c r="E281">
        <v>43.69</v>
      </c>
      <c r="F281">
        <v>4.0864000000000003</v>
      </c>
      <c r="G281">
        <v>1.9E-2</v>
      </c>
      <c r="H281">
        <f t="shared" si="12"/>
        <v>4.077599835040209E-2</v>
      </c>
      <c r="I281">
        <f t="shared" si="13"/>
        <v>3.7536944119870776E-2</v>
      </c>
      <c r="J281">
        <f t="shared" si="14"/>
        <v>3.7700000000000031</v>
      </c>
    </row>
    <row r="282" spans="1:10" x14ac:dyDescent="0.25">
      <c r="A282" t="s">
        <v>24</v>
      </c>
      <c r="B282">
        <v>35</v>
      </c>
      <c r="C282">
        <v>1163.92</v>
      </c>
      <c r="D282">
        <v>52.51</v>
      </c>
      <c r="E282">
        <v>48.32</v>
      </c>
      <c r="F282">
        <v>4.1040999999999999</v>
      </c>
      <c r="G282">
        <v>1.7999999999999999E-2</v>
      </c>
      <c r="H282">
        <f t="shared" si="12"/>
        <v>4.5114784521272933E-2</v>
      </c>
      <c r="I282">
        <f t="shared" si="13"/>
        <v>4.1514880747817715E-2</v>
      </c>
      <c r="J282">
        <f t="shared" si="14"/>
        <v>4.1899999999999977</v>
      </c>
    </row>
    <row r="283" spans="1:10" x14ac:dyDescent="0.25">
      <c r="A283" t="s">
        <v>24</v>
      </c>
      <c r="B283">
        <v>40</v>
      </c>
      <c r="C283">
        <v>1163.92</v>
      </c>
      <c r="D283">
        <v>57.02</v>
      </c>
      <c r="E283">
        <v>52.42</v>
      </c>
      <c r="F283">
        <v>4.3407999999999998</v>
      </c>
      <c r="G283">
        <v>1.7999999999999999E-2</v>
      </c>
      <c r="H283">
        <f t="shared" si="12"/>
        <v>4.8989621279813045E-2</v>
      </c>
      <c r="I283">
        <f t="shared" si="13"/>
        <v>4.5037459619217811E-2</v>
      </c>
      <c r="J283">
        <f t="shared" si="14"/>
        <v>4.6000000000000014</v>
      </c>
    </row>
    <row r="284" spans="1:10" x14ac:dyDescent="0.25">
      <c r="A284" t="s">
        <v>24</v>
      </c>
      <c r="B284">
        <v>45</v>
      </c>
      <c r="C284">
        <v>1163.92</v>
      </c>
      <c r="D284">
        <v>62</v>
      </c>
      <c r="E284">
        <v>57.04</v>
      </c>
      <c r="F284">
        <v>4.1189999999999998</v>
      </c>
      <c r="G284">
        <v>2.1000000000000001E-2</v>
      </c>
      <c r="H284">
        <f t="shared" si="12"/>
        <v>5.3268265860196576E-2</v>
      </c>
      <c r="I284">
        <f t="shared" si="13"/>
        <v>4.9006804591380848E-2</v>
      </c>
      <c r="J284">
        <f t="shared" si="14"/>
        <v>4.9600000000000009</v>
      </c>
    </row>
    <row r="285" spans="1:10" x14ac:dyDescent="0.25">
      <c r="A285" t="s">
        <v>24</v>
      </c>
      <c r="B285">
        <v>50</v>
      </c>
      <c r="C285">
        <v>1163.92</v>
      </c>
      <c r="D285">
        <v>66.45</v>
      </c>
      <c r="E285">
        <v>61.11</v>
      </c>
      <c r="F285">
        <v>4.1604999999999999</v>
      </c>
      <c r="G285">
        <v>2.1000000000000001E-2</v>
      </c>
      <c r="H285">
        <f t="shared" si="12"/>
        <v>5.7091552684033264E-2</v>
      </c>
      <c r="I285">
        <f t="shared" si="13"/>
        <v>5.2503608495429233E-2</v>
      </c>
      <c r="J285">
        <f t="shared" si="14"/>
        <v>5.3400000000000034</v>
      </c>
    </row>
    <row r="286" spans="1:10" x14ac:dyDescent="0.25">
      <c r="A286" t="s">
        <v>24</v>
      </c>
      <c r="B286">
        <v>55</v>
      </c>
      <c r="C286">
        <v>1163.92</v>
      </c>
      <c r="D286">
        <v>71.03</v>
      </c>
      <c r="E286">
        <v>65.37</v>
      </c>
      <c r="F286">
        <v>4.4732000000000003</v>
      </c>
      <c r="G286">
        <v>2.01E-2</v>
      </c>
      <c r="H286">
        <f t="shared" si="12"/>
        <v>6.1026531033060688E-2</v>
      </c>
      <c r="I286">
        <f t="shared" si="13"/>
        <v>5.6163653859371776E-2</v>
      </c>
      <c r="J286">
        <f t="shared" si="14"/>
        <v>5.6599999999999966</v>
      </c>
    </row>
    <row r="287" spans="1:10" x14ac:dyDescent="0.25">
      <c r="A287" t="s">
        <v>24</v>
      </c>
      <c r="B287">
        <v>60</v>
      </c>
      <c r="C287">
        <v>1163.92</v>
      </c>
      <c r="D287">
        <v>76.94</v>
      </c>
      <c r="E287">
        <v>70.92</v>
      </c>
      <c r="F287">
        <v>4.1965000000000003</v>
      </c>
      <c r="G287">
        <v>1.8499999999999999E-2</v>
      </c>
      <c r="H287">
        <f t="shared" si="12"/>
        <v>6.6104199601347169E-2</v>
      </c>
      <c r="I287">
        <f t="shared" si="13"/>
        <v>6.0932022819437763E-2</v>
      </c>
      <c r="J287">
        <f t="shared" si="14"/>
        <v>6.019999999999996</v>
      </c>
    </row>
    <row r="288" spans="1:10" x14ac:dyDescent="0.25">
      <c r="A288" t="s">
        <v>24</v>
      </c>
      <c r="B288">
        <v>65</v>
      </c>
      <c r="C288">
        <v>1163.92</v>
      </c>
      <c r="D288">
        <v>84.8</v>
      </c>
      <c r="E288">
        <v>77.900000000000006</v>
      </c>
      <c r="F288">
        <v>4.1879</v>
      </c>
      <c r="G288">
        <v>2.1000000000000001E-2</v>
      </c>
      <c r="H288">
        <f t="shared" si="12"/>
        <v>7.2857241047494664E-2</v>
      </c>
      <c r="I288">
        <f t="shared" si="13"/>
        <v>6.6928998556601824E-2</v>
      </c>
      <c r="J288">
        <f t="shared" si="14"/>
        <v>6.8999999999999915</v>
      </c>
    </row>
    <row r="289" spans="1:10" x14ac:dyDescent="0.25">
      <c r="A289" t="s">
        <v>24</v>
      </c>
      <c r="B289">
        <v>70</v>
      </c>
      <c r="C289">
        <v>1163.92</v>
      </c>
      <c r="D289">
        <v>94.19</v>
      </c>
      <c r="E289">
        <v>86.63</v>
      </c>
      <c r="F289">
        <v>4.2019000000000002</v>
      </c>
      <c r="G289">
        <v>1.7999999999999999E-2</v>
      </c>
      <c r="H289">
        <f t="shared" si="12"/>
        <v>8.0924805828579277E-2</v>
      </c>
      <c r="I289">
        <f t="shared" si="13"/>
        <v>7.4429514055948859E-2</v>
      </c>
      <c r="J289">
        <f t="shared" si="14"/>
        <v>7.5600000000000023</v>
      </c>
    </row>
    <row r="290" spans="1:10" x14ac:dyDescent="0.25">
      <c r="A290" t="s">
        <v>24</v>
      </c>
      <c r="B290">
        <v>75</v>
      </c>
      <c r="C290">
        <v>1163.92</v>
      </c>
      <c r="D290">
        <v>105.13</v>
      </c>
      <c r="E290">
        <v>96.91</v>
      </c>
      <c r="F290">
        <v>4.2679999999999998</v>
      </c>
      <c r="G290">
        <v>1.7999999999999999E-2</v>
      </c>
      <c r="H290">
        <f t="shared" si="12"/>
        <v>9.0324077256168797E-2</v>
      </c>
      <c r="I290">
        <f t="shared" si="13"/>
        <v>8.3261736201800801E-2</v>
      </c>
      <c r="J290">
        <f t="shared" si="14"/>
        <v>8.2199999999999989</v>
      </c>
    </row>
    <row r="291" spans="1:10" x14ac:dyDescent="0.25">
      <c r="A291" t="s">
        <v>24</v>
      </c>
      <c r="B291">
        <v>80</v>
      </c>
      <c r="C291">
        <v>1163.92</v>
      </c>
      <c r="D291">
        <v>122.6</v>
      </c>
      <c r="E291">
        <v>113.36</v>
      </c>
      <c r="F291">
        <v>4.3323999999999998</v>
      </c>
      <c r="G291">
        <v>2.1000000000000001E-2</v>
      </c>
      <c r="H291">
        <f t="shared" si="12"/>
        <v>0.10533369991064677</v>
      </c>
      <c r="I291">
        <f t="shared" si="13"/>
        <v>9.7395009966320709E-2</v>
      </c>
      <c r="J291">
        <f t="shared" si="14"/>
        <v>9.2399999999999949</v>
      </c>
    </row>
    <row r="292" spans="1:10" x14ac:dyDescent="0.25">
      <c r="A292" t="s">
        <v>24</v>
      </c>
      <c r="B292">
        <v>85</v>
      </c>
      <c r="C292">
        <v>1163.92</v>
      </c>
      <c r="D292">
        <v>147.5</v>
      </c>
      <c r="E292">
        <v>136.97</v>
      </c>
      <c r="F292">
        <v>4.4115000000000002</v>
      </c>
      <c r="G292">
        <v>1.9E-2</v>
      </c>
      <c r="H292">
        <f t="shared" si="12"/>
        <v>0.12672692281256442</v>
      </c>
      <c r="I292">
        <f t="shared" si="13"/>
        <v>0.11767990927211491</v>
      </c>
      <c r="J292">
        <f t="shared" si="14"/>
        <v>10.530000000000001</v>
      </c>
    </row>
    <row r="293" spans="1:10" x14ac:dyDescent="0.25">
      <c r="A293" t="s">
        <v>24</v>
      </c>
      <c r="B293">
        <v>90</v>
      </c>
      <c r="C293">
        <v>1163.92</v>
      </c>
      <c r="D293">
        <v>192.46</v>
      </c>
      <c r="E293">
        <v>178.4</v>
      </c>
      <c r="F293">
        <v>5.0793999999999997</v>
      </c>
      <c r="G293">
        <v>2.1000000000000001E-2</v>
      </c>
      <c r="H293">
        <f t="shared" si="12"/>
        <v>0.16535500721699087</v>
      </c>
      <c r="I293">
        <f t="shared" si="13"/>
        <v>0.15327513918482369</v>
      </c>
      <c r="J293">
        <f t="shared" si="14"/>
        <v>14.060000000000002</v>
      </c>
    </row>
    <row r="294" spans="1:10" x14ac:dyDescent="0.25">
      <c r="A294" t="s">
        <v>24</v>
      </c>
      <c r="B294">
        <v>95</v>
      </c>
      <c r="C294">
        <v>1163.92</v>
      </c>
      <c r="D294">
        <v>285.74</v>
      </c>
      <c r="E294">
        <v>265.01</v>
      </c>
      <c r="F294">
        <v>4.9744999999999999</v>
      </c>
      <c r="G294">
        <v>2.3300000000000001E-2</v>
      </c>
      <c r="H294">
        <f t="shared" si="12"/>
        <v>0.24549797236923498</v>
      </c>
      <c r="I294">
        <f t="shared" si="13"/>
        <v>0.22768746992920474</v>
      </c>
      <c r="J294">
        <f t="shared" si="14"/>
        <v>20.730000000000018</v>
      </c>
    </row>
    <row r="295" spans="1:10" x14ac:dyDescent="0.25">
      <c r="A295" t="s">
        <v>24</v>
      </c>
      <c r="B295">
        <v>100</v>
      </c>
      <c r="C295">
        <v>1163.92</v>
      </c>
      <c r="D295">
        <v>532.07000000000005</v>
      </c>
      <c r="E295">
        <v>565.14</v>
      </c>
      <c r="F295">
        <v>5.9886999999999997</v>
      </c>
      <c r="G295">
        <v>2.1999999999999999E-2</v>
      </c>
      <c r="H295">
        <f t="shared" si="12"/>
        <v>0.45713622929410958</v>
      </c>
      <c r="I295">
        <f t="shared" si="13"/>
        <v>0.48554883497147566</v>
      </c>
      <c r="J295">
        <f t="shared" si="14"/>
        <v>-33.069999999999936</v>
      </c>
    </row>
    <row r="296" spans="1:10" x14ac:dyDescent="0.25">
      <c r="A296" t="s">
        <v>10</v>
      </c>
      <c r="B296">
        <v>0</v>
      </c>
      <c r="C296">
        <v>1697.71</v>
      </c>
      <c r="D296">
        <v>19.73</v>
      </c>
      <c r="E296">
        <v>18.05</v>
      </c>
      <c r="F296">
        <v>3.9470999999999998</v>
      </c>
      <c r="G296">
        <v>1.7000000000000001E-2</v>
      </c>
      <c r="H296">
        <f t="shared" si="12"/>
        <v>1.1621537247233037E-2</v>
      </c>
      <c r="I296">
        <f t="shared" si="13"/>
        <v>1.0631968946404275E-2</v>
      </c>
      <c r="J296">
        <f t="shared" si="14"/>
        <v>1.6799999999999997</v>
      </c>
    </row>
    <row r="297" spans="1:10" x14ac:dyDescent="0.25">
      <c r="A297" t="s">
        <v>10</v>
      </c>
      <c r="B297">
        <v>5</v>
      </c>
      <c r="C297">
        <v>1697.71</v>
      </c>
      <c r="D297">
        <v>25.15</v>
      </c>
      <c r="E297">
        <v>23.29</v>
      </c>
      <c r="F297">
        <v>4.0263999999999998</v>
      </c>
      <c r="G297">
        <v>2.1000000000000001E-2</v>
      </c>
      <c r="H297">
        <f t="shared" si="12"/>
        <v>1.4814073074906784E-2</v>
      </c>
      <c r="I297">
        <f t="shared" si="13"/>
        <v>1.3718479598989227E-2</v>
      </c>
      <c r="J297">
        <f t="shared" si="14"/>
        <v>1.8599999999999994</v>
      </c>
    </row>
    <row r="298" spans="1:10" x14ac:dyDescent="0.25">
      <c r="A298" t="s">
        <v>10</v>
      </c>
      <c r="B298">
        <v>10</v>
      </c>
      <c r="C298">
        <v>1697.71</v>
      </c>
      <c r="D298">
        <v>36.17</v>
      </c>
      <c r="E298">
        <v>33.61</v>
      </c>
      <c r="F298">
        <v>4.0754000000000001</v>
      </c>
      <c r="G298">
        <v>1.9199999999999998E-2</v>
      </c>
      <c r="H298">
        <f t="shared" si="12"/>
        <v>2.1305169905343081E-2</v>
      </c>
      <c r="I298">
        <f t="shared" si="13"/>
        <v>1.9797256304080201E-2</v>
      </c>
      <c r="J298">
        <f t="shared" si="14"/>
        <v>2.5600000000000023</v>
      </c>
    </row>
    <row r="299" spans="1:10" x14ac:dyDescent="0.25">
      <c r="A299" t="s">
        <v>10</v>
      </c>
      <c r="B299">
        <v>15</v>
      </c>
      <c r="C299">
        <v>1697.71</v>
      </c>
      <c r="D299">
        <v>45.85</v>
      </c>
      <c r="E299">
        <v>42.91</v>
      </c>
      <c r="F299">
        <v>4.0688000000000004</v>
      </c>
      <c r="G299">
        <v>1.7000000000000001E-2</v>
      </c>
      <c r="H299">
        <f t="shared" si="12"/>
        <v>2.7006968210118335E-2</v>
      </c>
      <c r="I299">
        <f t="shared" si="13"/>
        <v>2.5275223683667997E-2</v>
      </c>
      <c r="J299">
        <f t="shared" si="14"/>
        <v>2.9400000000000048</v>
      </c>
    </row>
    <row r="300" spans="1:10" x14ac:dyDescent="0.25">
      <c r="A300" t="s">
        <v>10</v>
      </c>
      <c r="B300">
        <v>20</v>
      </c>
      <c r="C300">
        <v>1697.71</v>
      </c>
      <c r="D300">
        <v>55.6</v>
      </c>
      <c r="E300">
        <v>51.68</v>
      </c>
      <c r="F300">
        <v>4.0871000000000004</v>
      </c>
      <c r="G300">
        <v>1.7000000000000001E-2</v>
      </c>
      <c r="H300">
        <f t="shared" si="12"/>
        <v>3.2749998527428124E-2</v>
      </c>
      <c r="I300">
        <f t="shared" si="13"/>
        <v>3.0441005825494343E-2</v>
      </c>
      <c r="J300">
        <f t="shared" si="14"/>
        <v>3.9200000000000017</v>
      </c>
    </row>
    <row r="301" spans="1:10" x14ac:dyDescent="0.25">
      <c r="A301" t="s">
        <v>10</v>
      </c>
      <c r="B301">
        <v>25</v>
      </c>
      <c r="C301">
        <v>1697.71</v>
      </c>
      <c r="D301">
        <v>64.55</v>
      </c>
      <c r="E301">
        <v>60.12</v>
      </c>
      <c r="F301">
        <v>4.1566000000000001</v>
      </c>
      <c r="G301">
        <v>2.1999999999999999E-2</v>
      </c>
      <c r="H301">
        <f t="shared" si="12"/>
        <v>3.8021805844343261E-2</v>
      </c>
      <c r="I301">
        <f t="shared" si="13"/>
        <v>3.5412408479657889E-2</v>
      </c>
      <c r="J301">
        <f t="shared" si="14"/>
        <v>4.43</v>
      </c>
    </row>
    <row r="302" spans="1:10" x14ac:dyDescent="0.25">
      <c r="A302" t="s">
        <v>10</v>
      </c>
      <c r="B302">
        <v>30</v>
      </c>
      <c r="C302">
        <v>1697.71</v>
      </c>
      <c r="D302">
        <v>72.900000000000006</v>
      </c>
      <c r="E302">
        <v>68</v>
      </c>
      <c r="F302">
        <v>4.1239999999999997</v>
      </c>
      <c r="G302">
        <v>1.9E-2</v>
      </c>
      <c r="H302">
        <f t="shared" si="12"/>
        <v>4.2940195910962417E-2</v>
      </c>
      <c r="I302">
        <f t="shared" si="13"/>
        <v>4.005395503354519E-2</v>
      </c>
      <c r="J302">
        <f t="shared" si="14"/>
        <v>4.9000000000000057</v>
      </c>
    </row>
    <row r="303" spans="1:10" x14ac:dyDescent="0.25">
      <c r="A303" t="s">
        <v>10</v>
      </c>
      <c r="B303">
        <v>35</v>
      </c>
      <c r="C303">
        <v>1697.71</v>
      </c>
      <c r="D303">
        <v>81.040000000000006</v>
      </c>
      <c r="E303">
        <v>75.739999999999995</v>
      </c>
      <c r="F303">
        <v>4.1538000000000004</v>
      </c>
      <c r="G303">
        <v>1.9099999999999999E-2</v>
      </c>
      <c r="H303">
        <f t="shared" si="12"/>
        <v>4.7734889939977973E-2</v>
      </c>
      <c r="I303">
        <f t="shared" si="13"/>
        <v>4.4613037562363414E-2</v>
      </c>
      <c r="J303">
        <f t="shared" si="14"/>
        <v>5.3000000000000114</v>
      </c>
    </row>
    <row r="304" spans="1:10" x14ac:dyDescent="0.25">
      <c r="A304" t="s">
        <v>10</v>
      </c>
      <c r="B304">
        <v>40</v>
      </c>
      <c r="C304">
        <v>1697.71</v>
      </c>
      <c r="D304">
        <v>87.93</v>
      </c>
      <c r="E304">
        <v>82.03</v>
      </c>
      <c r="F304">
        <v>4.1840999999999999</v>
      </c>
      <c r="G304">
        <v>2.1000000000000001E-2</v>
      </c>
      <c r="H304">
        <f t="shared" si="12"/>
        <v>5.1793298030876893E-2</v>
      </c>
      <c r="I304">
        <f t="shared" si="13"/>
        <v>4.8318028402966347E-2</v>
      </c>
      <c r="J304">
        <f t="shared" si="14"/>
        <v>5.9000000000000057</v>
      </c>
    </row>
    <row r="305" spans="1:10" x14ac:dyDescent="0.25">
      <c r="A305" t="s">
        <v>10</v>
      </c>
      <c r="B305">
        <v>45</v>
      </c>
      <c r="C305">
        <v>1697.71</v>
      </c>
      <c r="D305">
        <v>95.83</v>
      </c>
      <c r="E305">
        <v>89.41</v>
      </c>
      <c r="F305">
        <v>4.2336</v>
      </c>
      <c r="G305">
        <v>0.02</v>
      </c>
      <c r="H305">
        <f t="shared" si="12"/>
        <v>5.6446625159774048E-2</v>
      </c>
      <c r="I305">
        <f t="shared" si="13"/>
        <v>5.2665060581606984E-2</v>
      </c>
      <c r="J305">
        <f t="shared" si="14"/>
        <v>6.4200000000000017</v>
      </c>
    </row>
    <row r="306" spans="1:10" x14ac:dyDescent="0.25">
      <c r="A306" t="s">
        <v>10</v>
      </c>
      <c r="B306">
        <v>50</v>
      </c>
      <c r="C306">
        <v>1697.71</v>
      </c>
      <c r="D306">
        <v>102.73</v>
      </c>
      <c r="E306">
        <v>95.8</v>
      </c>
      <c r="F306">
        <v>4.2251000000000003</v>
      </c>
      <c r="G306">
        <v>2.1000000000000001E-2</v>
      </c>
      <c r="H306">
        <f t="shared" si="12"/>
        <v>6.0510923538177899E-2</v>
      </c>
      <c r="I306">
        <f t="shared" si="13"/>
        <v>5.6428954297259248E-2</v>
      </c>
      <c r="J306">
        <f t="shared" si="14"/>
        <v>6.9300000000000068</v>
      </c>
    </row>
    <row r="307" spans="1:10" x14ac:dyDescent="0.25">
      <c r="A307" t="s">
        <v>10</v>
      </c>
      <c r="B307">
        <v>55</v>
      </c>
      <c r="C307">
        <v>1697.71</v>
      </c>
      <c r="D307">
        <v>109.97</v>
      </c>
      <c r="E307">
        <v>102.55</v>
      </c>
      <c r="F307">
        <v>4.2554999999999996</v>
      </c>
      <c r="G307">
        <v>1.9E-2</v>
      </c>
      <c r="H307">
        <f t="shared" si="12"/>
        <v>6.4775491691749468E-2</v>
      </c>
      <c r="I307">
        <f t="shared" si="13"/>
        <v>6.0404898363089099E-2</v>
      </c>
      <c r="J307">
        <f t="shared" si="14"/>
        <v>7.4200000000000017</v>
      </c>
    </row>
    <row r="308" spans="1:10" x14ac:dyDescent="0.25">
      <c r="A308" t="s">
        <v>10</v>
      </c>
      <c r="B308">
        <v>60</v>
      </c>
      <c r="C308">
        <v>1697.71</v>
      </c>
      <c r="D308">
        <v>119.48</v>
      </c>
      <c r="E308">
        <v>111.36</v>
      </c>
      <c r="F308">
        <v>4.2845000000000004</v>
      </c>
      <c r="G308">
        <v>2.3E-2</v>
      </c>
      <c r="H308">
        <f t="shared" si="12"/>
        <v>7.0377155108940867E-2</v>
      </c>
      <c r="I308">
        <f t="shared" si="13"/>
        <v>6.5594241654935173E-2</v>
      </c>
      <c r="J308">
        <f t="shared" si="14"/>
        <v>8.1200000000000045</v>
      </c>
    </row>
    <row r="309" spans="1:10" x14ac:dyDescent="0.25">
      <c r="A309" t="s">
        <v>10</v>
      </c>
      <c r="B309">
        <v>65</v>
      </c>
      <c r="C309">
        <v>1697.71</v>
      </c>
      <c r="D309">
        <v>131.63</v>
      </c>
      <c r="E309">
        <v>122.44</v>
      </c>
      <c r="F309">
        <v>4.3506</v>
      </c>
      <c r="G309">
        <v>1.9E-2</v>
      </c>
      <c r="H309">
        <f t="shared" si="12"/>
        <v>7.7533854427434601E-2</v>
      </c>
      <c r="I309">
        <f t="shared" si="13"/>
        <v>7.2120680210401064E-2</v>
      </c>
      <c r="J309">
        <f t="shared" si="14"/>
        <v>9.1899999999999977</v>
      </c>
    </row>
    <row r="310" spans="1:10" x14ac:dyDescent="0.25">
      <c r="A310" t="s">
        <v>10</v>
      </c>
      <c r="B310">
        <v>70</v>
      </c>
      <c r="C310">
        <v>1697.71</v>
      </c>
      <c r="D310">
        <v>146.87</v>
      </c>
      <c r="E310">
        <v>136.63999999999999</v>
      </c>
      <c r="F310">
        <v>4.4078999999999997</v>
      </c>
      <c r="G310">
        <v>0.02</v>
      </c>
      <c r="H310">
        <f t="shared" si="12"/>
        <v>8.6510652584952677E-2</v>
      </c>
      <c r="I310">
        <f t="shared" si="13"/>
        <v>8.048488846740609E-2</v>
      </c>
      <c r="J310">
        <f t="shared" si="14"/>
        <v>10.230000000000018</v>
      </c>
    </row>
    <row r="311" spans="1:10" x14ac:dyDescent="0.25">
      <c r="A311" t="s">
        <v>10</v>
      </c>
      <c r="B311">
        <v>75</v>
      </c>
      <c r="C311">
        <v>1697.71</v>
      </c>
      <c r="D311">
        <v>165.14</v>
      </c>
      <c r="E311">
        <v>153.69</v>
      </c>
      <c r="F311">
        <v>4.8925000000000001</v>
      </c>
      <c r="G311">
        <v>3.4000000000000002E-2</v>
      </c>
      <c r="H311">
        <f t="shared" si="12"/>
        <v>9.7272207856465467E-2</v>
      </c>
      <c r="I311">
        <f t="shared" si="13"/>
        <v>9.0527828663317059E-2</v>
      </c>
      <c r="J311">
        <f t="shared" si="14"/>
        <v>11.449999999999989</v>
      </c>
    </row>
    <row r="312" spans="1:10" x14ac:dyDescent="0.25">
      <c r="A312" t="s">
        <v>10</v>
      </c>
      <c r="B312">
        <v>80</v>
      </c>
      <c r="C312">
        <v>1697.71</v>
      </c>
      <c r="D312">
        <v>193.58</v>
      </c>
      <c r="E312">
        <v>180.18</v>
      </c>
      <c r="F312">
        <v>4.6665999999999999</v>
      </c>
      <c r="G312">
        <v>2.1000000000000001E-2</v>
      </c>
      <c r="H312">
        <f t="shared" si="12"/>
        <v>0.11402418552049526</v>
      </c>
      <c r="I312">
        <f t="shared" si="13"/>
        <v>0.10613120026388488</v>
      </c>
      <c r="J312">
        <f t="shared" si="14"/>
        <v>13.400000000000006</v>
      </c>
    </row>
    <row r="313" spans="1:10" x14ac:dyDescent="0.25">
      <c r="A313" t="s">
        <v>10</v>
      </c>
      <c r="B313">
        <v>85</v>
      </c>
      <c r="C313">
        <v>1697.71</v>
      </c>
      <c r="D313">
        <v>233.42</v>
      </c>
      <c r="E313">
        <v>216.72</v>
      </c>
      <c r="F313">
        <v>4.6585999999999999</v>
      </c>
      <c r="G313">
        <v>2.1000000000000001E-2</v>
      </c>
      <c r="H313">
        <f t="shared" si="12"/>
        <v>0.13749109094014877</v>
      </c>
      <c r="I313">
        <f t="shared" si="13"/>
        <v>0.12765431080691048</v>
      </c>
      <c r="J313">
        <f t="shared" si="14"/>
        <v>16.699999999999989</v>
      </c>
    </row>
    <row r="314" spans="1:10" x14ac:dyDescent="0.25">
      <c r="A314" t="s">
        <v>10</v>
      </c>
      <c r="B314">
        <v>90</v>
      </c>
      <c r="C314">
        <v>1697.71</v>
      </c>
      <c r="D314">
        <v>300.97000000000003</v>
      </c>
      <c r="E314">
        <v>278.12</v>
      </c>
      <c r="F314">
        <v>4.8647999999999998</v>
      </c>
      <c r="G314">
        <v>0.02</v>
      </c>
      <c r="H314">
        <f t="shared" si="12"/>
        <v>0.17727998303597201</v>
      </c>
      <c r="I314">
        <f t="shared" si="13"/>
        <v>0.16382067608719983</v>
      </c>
      <c r="J314">
        <f t="shared" si="14"/>
        <v>22.850000000000023</v>
      </c>
    </row>
    <row r="315" spans="1:10" x14ac:dyDescent="0.25">
      <c r="A315" t="s">
        <v>10</v>
      </c>
      <c r="B315">
        <v>95</v>
      </c>
      <c r="C315">
        <v>1697.71</v>
      </c>
      <c r="D315">
        <v>432.62</v>
      </c>
      <c r="E315">
        <v>400.27</v>
      </c>
      <c r="F315">
        <v>5.2423000000000002</v>
      </c>
      <c r="G315">
        <v>2.1000000000000001E-2</v>
      </c>
      <c r="H315">
        <f t="shared" si="12"/>
        <v>0.25482561803841647</v>
      </c>
      <c r="I315">
        <f t="shared" si="13"/>
        <v>0.23577053795995781</v>
      </c>
      <c r="J315">
        <f t="shared" si="14"/>
        <v>32.350000000000023</v>
      </c>
    </row>
    <row r="316" spans="1:10" x14ac:dyDescent="0.25">
      <c r="A316" t="s">
        <v>10</v>
      </c>
      <c r="B316">
        <v>100</v>
      </c>
      <c r="C316">
        <v>1697.71</v>
      </c>
      <c r="D316">
        <v>758.1</v>
      </c>
      <c r="E316">
        <v>771.9</v>
      </c>
      <c r="F316">
        <v>6.3967000000000001</v>
      </c>
      <c r="G316">
        <v>2.5000000000000001E-2</v>
      </c>
      <c r="H316">
        <f t="shared" si="12"/>
        <v>0.44654269574897953</v>
      </c>
      <c r="I316">
        <f t="shared" si="13"/>
        <v>0.45467129250578719</v>
      </c>
      <c r="J316">
        <f t="shared" si="14"/>
        <v>-13.799999999999955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75FC-FEC0-4DDF-9262-B3EB22AB6ACA}">
  <dimension ref="A1:AO241"/>
  <sheetViews>
    <sheetView zoomScale="55" zoomScaleNormal="55" workbookViewId="0">
      <selection activeCell="D5" sqref="D5"/>
    </sheetView>
  </sheetViews>
  <sheetFormatPr defaultRowHeight="15" x14ac:dyDescent="0.25"/>
  <cols>
    <col min="8" max="8" width="19.28515625" customWidth="1"/>
    <col min="9" max="9" width="20.425781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  <c r="AL1" t="s">
        <v>7</v>
      </c>
      <c r="AM1" t="s">
        <v>8</v>
      </c>
      <c r="AN1" t="str">
        <f>A82</f>
        <v>Episode3</v>
      </c>
      <c r="AO1" t="s">
        <v>7</v>
      </c>
    </row>
    <row r="2" spans="1:41" x14ac:dyDescent="0.25">
      <c r="A2" t="s">
        <v>7</v>
      </c>
      <c r="B2">
        <v>0</v>
      </c>
      <c r="C2">
        <v>4175.13</v>
      </c>
      <c r="D2">
        <v>143.44999999999999</v>
      </c>
      <c r="E2">
        <v>66.97</v>
      </c>
      <c r="F2">
        <v>38.045400000000001</v>
      </c>
      <c r="G2">
        <v>1.09E-2</v>
      </c>
      <c r="H2">
        <f>D2/C2</f>
        <v>3.4358211600596864E-2</v>
      </c>
      <c r="I2">
        <f>E2/C2</f>
        <v>1.6040219106949964E-2</v>
      </c>
      <c r="J2">
        <f>D2-E2</f>
        <v>76.47999999999999</v>
      </c>
      <c r="AL2">
        <f>D2-'Run 1 (Alex)'!D191</f>
        <v>0</v>
      </c>
      <c r="AM2">
        <f>D22-'Run 1 (Alex)'!D107</f>
        <v>0</v>
      </c>
      <c r="AN2">
        <f>D62-'Run 1 (Alex)'!D296</f>
        <v>0</v>
      </c>
      <c r="AO2">
        <f>E2-'Run 1 (Alex)'!E191</f>
        <v>4.8399999999999963</v>
      </c>
    </row>
    <row r="3" spans="1:41" x14ac:dyDescent="0.25">
      <c r="A3" t="s">
        <v>7</v>
      </c>
      <c r="B3">
        <v>5</v>
      </c>
      <c r="C3">
        <v>4175.13</v>
      </c>
      <c r="D3">
        <v>149.47</v>
      </c>
      <c r="E3">
        <v>71.66</v>
      </c>
      <c r="F3">
        <v>37.829300000000003</v>
      </c>
      <c r="G3">
        <v>8.0000000000000002E-3</v>
      </c>
      <c r="H3">
        <f t="shared" ref="H3:H66" si="0">D3/C3</f>
        <v>3.5800082871671059E-2</v>
      </c>
      <c r="I3">
        <f t="shared" ref="I3:I66" si="1">E3/C3</f>
        <v>1.7163537422786833E-2</v>
      </c>
      <c r="J3">
        <f t="shared" ref="J3:J66" si="2">D3-E3</f>
        <v>77.81</v>
      </c>
      <c r="AL3">
        <f>D3-'Run 1 (Alex)'!D192</f>
        <v>-9.9999999999909051E-3</v>
      </c>
      <c r="AM3">
        <f>D23-'Run 1 (Alex)'!D108</f>
        <v>0</v>
      </c>
      <c r="AN3">
        <f>D63-'Run 1 (Alex)'!D297</f>
        <v>0</v>
      </c>
      <c r="AO3">
        <f>E3-'Run 1 (Alex)'!E192</f>
        <v>9.2899999999999991</v>
      </c>
    </row>
    <row r="4" spans="1:41" x14ac:dyDescent="0.25">
      <c r="A4" t="s">
        <v>7</v>
      </c>
      <c r="B4">
        <v>10</v>
      </c>
      <c r="C4">
        <v>4175.13</v>
      </c>
      <c r="D4">
        <v>166.19</v>
      </c>
      <c r="E4">
        <v>84.86</v>
      </c>
      <c r="F4">
        <v>38.643000000000001</v>
      </c>
      <c r="G4">
        <v>8.9999999999999993E-3</v>
      </c>
      <c r="H4">
        <f t="shared" si="0"/>
        <v>3.9804748594654535E-2</v>
      </c>
      <c r="I4">
        <f t="shared" si="1"/>
        <v>2.032511562514221E-2</v>
      </c>
      <c r="J4">
        <f t="shared" si="2"/>
        <v>81.33</v>
      </c>
      <c r="AL4">
        <f>D4-'Run 1 (Alex)'!D193</f>
        <v>-9.9999999999909051E-3</v>
      </c>
      <c r="AM4">
        <f>D24-'Run 1 (Alex)'!D109</f>
        <v>0</v>
      </c>
      <c r="AN4">
        <f>D64-'Run 1 (Alex)'!D298</f>
        <v>1.9999999999996021E-2</v>
      </c>
      <c r="AO4">
        <f>E4-'Run 1 (Alex)'!E193</f>
        <v>20.760000000000005</v>
      </c>
    </row>
    <row r="5" spans="1:41" x14ac:dyDescent="0.25">
      <c r="A5" t="s">
        <v>7</v>
      </c>
      <c r="B5">
        <v>15</v>
      </c>
      <c r="C5">
        <v>4175.13</v>
      </c>
      <c r="D5">
        <v>183.66</v>
      </c>
      <c r="E5">
        <v>98.95</v>
      </c>
      <c r="F5">
        <v>38.135100000000001</v>
      </c>
      <c r="G5">
        <v>8.9999999999999993E-3</v>
      </c>
      <c r="H5">
        <f t="shared" si="0"/>
        <v>4.3989049442771842E-2</v>
      </c>
      <c r="I5">
        <f t="shared" si="1"/>
        <v>2.3699860842656396E-2</v>
      </c>
      <c r="J5">
        <f t="shared" si="2"/>
        <v>84.71</v>
      </c>
      <c r="AL5">
        <f>D5-'Run 1 (Alex)'!D194</f>
        <v>0</v>
      </c>
      <c r="AM5">
        <f>D25-'Run 1 (Alex)'!D110</f>
        <v>9.9999999999980105E-3</v>
      </c>
      <c r="AN5">
        <f>D65-'Run 1 (Alex)'!D299</f>
        <v>9.9999999999980105E-3</v>
      </c>
      <c r="AO5">
        <f>E5-'Run 1 (Alex)'!E194</f>
        <v>33.08</v>
      </c>
    </row>
    <row r="6" spans="1:41" x14ac:dyDescent="0.25">
      <c r="A6" t="s">
        <v>7</v>
      </c>
      <c r="B6">
        <v>20</v>
      </c>
      <c r="C6">
        <v>4175.13</v>
      </c>
      <c r="D6">
        <v>201.01</v>
      </c>
      <c r="E6">
        <v>112.86</v>
      </c>
      <c r="F6">
        <v>38.595199999999998</v>
      </c>
      <c r="G6">
        <v>8.9999999999999993E-3</v>
      </c>
      <c r="H6">
        <f t="shared" si="0"/>
        <v>4.8144608670867728E-2</v>
      </c>
      <c r="I6">
        <f t="shared" si="1"/>
        <v>2.7031493630138462E-2</v>
      </c>
      <c r="J6">
        <f t="shared" si="2"/>
        <v>88.149999999999991</v>
      </c>
      <c r="AL6">
        <f>D6-'Run 1 (Alex)'!D195</f>
        <v>1.999999999998181E-2</v>
      </c>
      <c r="AM6">
        <f>D26-'Run 1 (Alex)'!D111</f>
        <v>9.9999999999980105E-3</v>
      </c>
      <c r="AN6">
        <f>D66-'Run 1 (Alex)'!D300</f>
        <v>0</v>
      </c>
      <c r="AO6">
        <f>E6-'Run 1 (Alex)'!E195</f>
        <v>44.959999999999994</v>
      </c>
    </row>
    <row r="7" spans="1:41" x14ac:dyDescent="0.25">
      <c r="A7" t="s">
        <v>7</v>
      </c>
      <c r="B7">
        <v>25</v>
      </c>
      <c r="C7">
        <v>4175.13</v>
      </c>
      <c r="D7">
        <v>218.53</v>
      </c>
      <c r="E7">
        <v>126.68</v>
      </c>
      <c r="F7">
        <v>38.2697</v>
      </c>
      <c r="G7">
        <v>8.9999999999999993E-3</v>
      </c>
      <c r="H7">
        <f t="shared" si="0"/>
        <v>5.2340885193993957E-2</v>
      </c>
      <c r="I7">
        <f t="shared" si="1"/>
        <v>3.034157020260447E-2</v>
      </c>
      <c r="J7">
        <f t="shared" si="2"/>
        <v>91.85</v>
      </c>
      <c r="AL7">
        <f>D7-'Run 1 (Alex)'!D196</f>
        <v>9.9999999999909051E-3</v>
      </c>
      <c r="AM7">
        <f>D27-'Run 1 (Alex)'!D112</f>
        <v>7.0000000000000284E-2</v>
      </c>
      <c r="AN7">
        <f>D67-'Run 1 (Alex)'!D301</f>
        <v>-1.0000000000005116E-2</v>
      </c>
      <c r="AO7">
        <f>E7-'Run 1 (Alex)'!E196</f>
        <v>56.89</v>
      </c>
    </row>
    <row r="8" spans="1:41" x14ac:dyDescent="0.25">
      <c r="A8" t="s">
        <v>7</v>
      </c>
      <c r="B8">
        <v>30</v>
      </c>
      <c r="C8">
        <v>4175.13</v>
      </c>
      <c r="D8">
        <v>235.49</v>
      </c>
      <c r="E8">
        <v>140.09</v>
      </c>
      <c r="F8">
        <v>38.083100000000002</v>
      </c>
      <c r="G8">
        <v>8.0000000000000002E-3</v>
      </c>
      <c r="H8">
        <f t="shared" si="0"/>
        <v>5.6403034157020263E-2</v>
      </c>
      <c r="I8">
        <f t="shared" si="1"/>
        <v>3.3553446239997314E-2</v>
      </c>
      <c r="J8">
        <f t="shared" si="2"/>
        <v>95.4</v>
      </c>
      <c r="AL8">
        <f>D8-'Run 1 (Alex)'!D197</f>
        <v>0</v>
      </c>
      <c r="AM8">
        <f>D28-'Run 1 (Alex)'!D113</f>
        <v>0</v>
      </c>
      <c r="AN8">
        <f>D68-'Run 1 (Alex)'!D302</f>
        <v>1.9999999999996021E-2</v>
      </c>
      <c r="AO8">
        <f>E8-'Run 1 (Alex)'!E197</f>
        <v>67.8</v>
      </c>
    </row>
    <row r="9" spans="1:41" x14ac:dyDescent="0.25">
      <c r="A9" t="s">
        <v>7</v>
      </c>
      <c r="B9">
        <v>35</v>
      </c>
      <c r="C9">
        <v>4175.13</v>
      </c>
      <c r="D9">
        <v>252.07</v>
      </c>
      <c r="E9">
        <v>153.22999999999999</v>
      </c>
      <c r="F9">
        <v>39.180799999999998</v>
      </c>
      <c r="G9">
        <v>8.9999999999999993E-3</v>
      </c>
      <c r="H9">
        <f t="shared" si="0"/>
        <v>6.0374167989978751E-2</v>
      </c>
      <c r="I9">
        <f t="shared" si="1"/>
        <v>3.6700653632341984E-2</v>
      </c>
      <c r="J9">
        <f t="shared" si="2"/>
        <v>98.84</v>
      </c>
      <c r="AL9">
        <f>D9-'Run 1 (Alex)'!D198</f>
        <v>3.0000000000001137E-2</v>
      </c>
      <c r="AM9">
        <f>D29-'Run 1 (Alex)'!D114</f>
        <v>0</v>
      </c>
      <c r="AN9">
        <f>D69-'Run 1 (Alex)'!D303</f>
        <v>4.0000000000006253E-2</v>
      </c>
      <c r="AO9">
        <f>E9-'Run 1 (Alex)'!E198</f>
        <v>78.639999999999986</v>
      </c>
    </row>
    <row r="10" spans="1:41" x14ac:dyDescent="0.25">
      <c r="A10" t="s">
        <v>7</v>
      </c>
      <c r="B10">
        <v>40</v>
      </c>
      <c r="C10">
        <v>4175.13</v>
      </c>
      <c r="D10">
        <v>266.63</v>
      </c>
      <c r="E10">
        <v>164.24</v>
      </c>
      <c r="F10">
        <v>38.969799999999999</v>
      </c>
      <c r="G10">
        <v>8.9999999999999993E-3</v>
      </c>
      <c r="H10">
        <f t="shared" si="0"/>
        <v>6.38614845525768E-2</v>
      </c>
      <c r="I10">
        <f t="shared" si="1"/>
        <v>3.9337697269306589E-2</v>
      </c>
      <c r="J10">
        <f t="shared" si="2"/>
        <v>102.38999999999999</v>
      </c>
      <c r="AL10">
        <f>D10-'Run 1 (Alex)'!D199</f>
        <v>1.999999999998181E-2</v>
      </c>
      <c r="AM10">
        <f>D30-'Run 1 (Alex)'!D115</f>
        <v>-9.9999999999980105E-3</v>
      </c>
      <c r="AN10">
        <f>D70-'Run 1 (Alex)'!D304</f>
        <v>1.0000000000005116E-2</v>
      </c>
      <c r="AO10">
        <f>E10-'Run 1 (Alex)'!E199</f>
        <v>87.79</v>
      </c>
    </row>
    <row r="11" spans="1:41" x14ac:dyDescent="0.25">
      <c r="A11" t="s">
        <v>7</v>
      </c>
      <c r="B11">
        <v>45</v>
      </c>
      <c r="C11">
        <v>4175.13</v>
      </c>
      <c r="D11">
        <v>284.75</v>
      </c>
      <c r="E11">
        <v>177.65</v>
      </c>
      <c r="F11">
        <v>39.054299999999998</v>
      </c>
      <c r="G11">
        <v>0.01</v>
      </c>
      <c r="H11">
        <f t="shared" si="0"/>
        <v>6.8201469175810089E-2</v>
      </c>
      <c r="I11">
        <f t="shared" si="1"/>
        <v>4.254957330669943E-2</v>
      </c>
      <c r="J11">
        <f t="shared" si="2"/>
        <v>107.1</v>
      </c>
      <c r="AL11">
        <f>D11-'Run 1 (Alex)'!D200</f>
        <v>4.0000000000020464E-2</v>
      </c>
      <c r="AM11">
        <f>D31-'Run 1 (Alex)'!D116</f>
        <v>4.9999999999997158E-2</v>
      </c>
      <c r="AN11">
        <f>D71-'Run 1 (Alex)'!D305</f>
        <v>-6.0000000000002274E-2</v>
      </c>
      <c r="AO11">
        <f>E11-'Run 1 (Alex)'!E200</f>
        <v>99.050000000000011</v>
      </c>
    </row>
    <row r="12" spans="1:41" x14ac:dyDescent="0.25">
      <c r="A12" t="s">
        <v>7</v>
      </c>
      <c r="B12">
        <v>50</v>
      </c>
      <c r="C12">
        <v>4175.13</v>
      </c>
      <c r="D12">
        <v>299.54000000000002</v>
      </c>
      <c r="E12">
        <v>189.21</v>
      </c>
      <c r="F12">
        <v>39.484299999999998</v>
      </c>
      <c r="G12">
        <v>8.9999999999999993E-3</v>
      </c>
      <c r="H12">
        <f t="shared" si="0"/>
        <v>7.1743873843449185E-2</v>
      </c>
      <c r="I12">
        <f t="shared" si="1"/>
        <v>4.5318349368762174E-2</v>
      </c>
      <c r="J12">
        <f t="shared" si="2"/>
        <v>110.33000000000001</v>
      </c>
      <c r="AL12">
        <f>D12-'Run 1 (Alex)'!D201</f>
        <v>-6.9999999999993179E-2</v>
      </c>
      <c r="AM12">
        <f>D32-'Run 1 (Alex)'!D117</f>
        <v>-9.0000000000003411E-2</v>
      </c>
      <c r="AN12">
        <f>D72-'Run 1 (Alex)'!D306</f>
        <v>3.9999999999992042E-2</v>
      </c>
      <c r="AO12">
        <f>E12-'Run 1 (Alex)'!E201</f>
        <v>108.27000000000001</v>
      </c>
    </row>
    <row r="13" spans="1:41" x14ac:dyDescent="0.25">
      <c r="A13" t="s">
        <v>7</v>
      </c>
      <c r="B13">
        <v>55</v>
      </c>
      <c r="C13">
        <v>4175.13</v>
      </c>
      <c r="D13">
        <v>315.70999999999998</v>
      </c>
      <c r="E13">
        <v>201.62</v>
      </c>
      <c r="F13">
        <v>39.303800000000003</v>
      </c>
      <c r="G13">
        <v>9.4000000000000004E-3</v>
      </c>
      <c r="H13">
        <f t="shared" si="0"/>
        <v>7.5616807141334508E-2</v>
      </c>
      <c r="I13">
        <f t="shared" si="1"/>
        <v>4.8290711905976579E-2</v>
      </c>
      <c r="J13">
        <f t="shared" si="2"/>
        <v>114.08999999999997</v>
      </c>
      <c r="AL13">
        <f>D13-'Run 1 (Alex)'!D202</f>
        <v>4.9999999999954525E-2</v>
      </c>
      <c r="AM13">
        <f>D33-'Run 1 (Alex)'!D118</f>
        <v>9.9999999999980105E-3</v>
      </c>
      <c r="AN13">
        <f>D73-'Run 1 (Alex)'!D307</f>
        <v>-2.0000000000010232E-2</v>
      </c>
      <c r="AO13">
        <f>E13-'Run 1 (Alex)'!E202</f>
        <v>118.36</v>
      </c>
    </row>
    <row r="14" spans="1:41" x14ac:dyDescent="0.25">
      <c r="A14" t="s">
        <v>7</v>
      </c>
      <c r="B14">
        <v>60</v>
      </c>
      <c r="C14">
        <v>4175.13</v>
      </c>
      <c r="D14">
        <v>336.05</v>
      </c>
      <c r="E14">
        <v>217.51</v>
      </c>
      <c r="F14">
        <v>39.397199999999998</v>
      </c>
      <c r="G14">
        <v>1.03E-2</v>
      </c>
      <c r="H14">
        <f t="shared" si="0"/>
        <v>8.0488511734963936E-2</v>
      </c>
      <c r="I14">
        <f t="shared" si="1"/>
        <v>5.2096581423811947E-2</v>
      </c>
      <c r="J14">
        <f t="shared" si="2"/>
        <v>118.54000000000002</v>
      </c>
      <c r="AL14">
        <f>D14-'Run 1 (Alex)'!D203</f>
        <v>3.0000000000029559E-2</v>
      </c>
      <c r="AM14">
        <f>D34-'Run 1 (Alex)'!D119</f>
        <v>0</v>
      </c>
      <c r="AN14">
        <f>D74-'Run 1 (Alex)'!D308</f>
        <v>-1.0000000000019327E-2</v>
      </c>
      <c r="AO14">
        <f>E14-'Run 1 (Alex)'!E203</f>
        <v>131.32999999999998</v>
      </c>
    </row>
    <row r="15" spans="1:41" x14ac:dyDescent="0.25">
      <c r="A15" t="s">
        <v>7</v>
      </c>
      <c r="B15">
        <v>65</v>
      </c>
      <c r="C15">
        <v>4175.13</v>
      </c>
      <c r="D15">
        <v>365.98</v>
      </c>
      <c r="E15">
        <v>238.59</v>
      </c>
      <c r="F15">
        <v>39.423699999999997</v>
      </c>
      <c r="G15">
        <v>8.9999999999999993E-3</v>
      </c>
      <c r="H15">
        <f t="shared" si="0"/>
        <v>8.7657150795304575E-2</v>
      </c>
      <c r="I15">
        <f t="shared" si="1"/>
        <v>5.7145526007573416E-2</v>
      </c>
      <c r="J15">
        <f t="shared" si="2"/>
        <v>127.39000000000001</v>
      </c>
      <c r="AL15">
        <f>D15-'Run 1 (Alex)'!D204</f>
        <v>6.9999999999993179E-2</v>
      </c>
      <c r="AM15">
        <f>D35-'Run 1 (Alex)'!D120</f>
        <v>9.9999999999980105E-3</v>
      </c>
      <c r="AN15">
        <f>D75-'Run 1 (Alex)'!D309</f>
        <v>1.0000000000019327E-2</v>
      </c>
      <c r="AO15">
        <f>E15-'Run 1 (Alex)'!E204</f>
        <v>148.63</v>
      </c>
    </row>
    <row r="16" spans="1:41" x14ac:dyDescent="0.25">
      <c r="A16" t="s">
        <v>7</v>
      </c>
      <c r="B16">
        <v>70</v>
      </c>
      <c r="C16">
        <v>4175.13</v>
      </c>
      <c r="D16">
        <v>399.86</v>
      </c>
      <c r="E16">
        <v>265.04000000000002</v>
      </c>
      <c r="F16">
        <v>40.625100000000003</v>
      </c>
      <c r="G16">
        <v>1.0999999999999999E-2</v>
      </c>
      <c r="H16">
        <f t="shared" si="0"/>
        <v>9.5771868181350042E-2</v>
      </c>
      <c r="I16">
        <f t="shared" si="1"/>
        <v>6.3480658087293099E-2</v>
      </c>
      <c r="J16">
        <f t="shared" si="2"/>
        <v>134.82</v>
      </c>
      <c r="AL16">
        <f>D16-'Run 1 (Alex)'!D205</f>
        <v>0.10000000000002274</v>
      </c>
      <c r="AM16">
        <f>D36-'Run 1 (Alex)'!D121</f>
        <v>-5.0000000000004263E-2</v>
      </c>
      <c r="AN16">
        <f>D76-'Run 1 (Alex)'!D310</f>
        <v>2.0000000000010232E-2</v>
      </c>
      <c r="AO16">
        <f>E16-'Run 1 (Alex)'!E205</f>
        <v>169.88000000000002</v>
      </c>
    </row>
    <row r="17" spans="1:41" x14ac:dyDescent="0.25">
      <c r="A17" t="s">
        <v>7</v>
      </c>
      <c r="B17">
        <v>75</v>
      </c>
      <c r="C17">
        <v>4175.13</v>
      </c>
      <c r="D17">
        <v>442.34</v>
      </c>
      <c r="E17">
        <v>296.27999999999997</v>
      </c>
      <c r="F17">
        <v>41.5169</v>
      </c>
      <c r="G17">
        <v>1.0800000000000001E-2</v>
      </c>
      <c r="H17">
        <f t="shared" si="0"/>
        <v>0.10594640166893006</v>
      </c>
      <c r="I17">
        <f t="shared" si="1"/>
        <v>7.0963059832867464E-2</v>
      </c>
      <c r="J17">
        <f t="shared" si="2"/>
        <v>146.06</v>
      </c>
      <c r="AL17">
        <f>D17-'Run 1 (Alex)'!D206</f>
        <v>8.9999999999974989E-2</v>
      </c>
      <c r="AM17">
        <f>D37-'Run 1 (Alex)'!D122</f>
        <v>1.0000000000005116E-2</v>
      </c>
      <c r="AN17">
        <f>D77-'Run 1 (Alex)'!D311</f>
        <v>-3.9999999999992042E-2</v>
      </c>
      <c r="AO17">
        <f>E17-'Run 1 (Alex)'!E206</f>
        <v>193.76999999999998</v>
      </c>
    </row>
    <row r="18" spans="1:41" x14ac:dyDescent="0.25">
      <c r="A18" t="s">
        <v>7</v>
      </c>
      <c r="B18">
        <v>80</v>
      </c>
      <c r="C18">
        <v>4175.13</v>
      </c>
      <c r="D18">
        <v>512.20000000000005</v>
      </c>
      <c r="E18">
        <v>348.38</v>
      </c>
      <c r="F18">
        <v>42.575000000000003</v>
      </c>
      <c r="G18">
        <v>1.0999999999999999E-2</v>
      </c>
      <c r="H18">
        <f t="shared" si="0"/>
        <v>0.12267881479139572</v>
      </c>
      <c r="I18">
        <f t="shared" si="1"/>
        <v>8.3441713192164077E-2</v>
      </c>
      <c r="J18">
        <f t="shared" si="2"/>
        <v>163.82000000000005</v>
      </c>
      <c r="AL18">
        <f>D18-'Run 1 (Alex)'!D207</f>
        <v>0.15000000000009095</v>
      </c>
      <c r="AM18">
        <f>D38-'Run 1 (Alex)'!D123</f>
        <v>-1.0000000000005116E-2</v>
      </c>
      <c r="AN18">
        <f>D78-'Run 1 (Alex)'!D312</f>
        <v>6.0000000000002274E-2</v>
      </c>
      <c r="AO18">
        <f>E18-'Run 1 (Alex)'!E207</f>
        <v>232.94</v>
      </c>
    </row>
    <row r="19" spans="1:41" x14ac:dyDescent="0.25">
      <c r="A19" t="s">
        <v>7</v>
      </c>
      <c r="B19">
        <v>85</v>
      </c>
      <c r="C19">
        <v>4175.13</v>
      </c>
      <c r="D19">
        <v>612</v>
      </c>
      <c r="E19">
        <v>423.46</v>
      </c>
      <c r="F19">
        <v>42.13</v>
      </c>
      <c r="G19">
        <v>0.01</v>
      </c>
      <c r="H19">
        <f t="shared" si="0"/>
        <v>0.14658226210920378</v>
      </c>
      <c r="I19">
        <f t="shared" si="1"/>
        <v>0.10142438678556116</v>
      </c>
      <c r="J19">
        <f t="shared" si="2"/>
        <v>188.54000000000002</v>
      </c>
      <c r="AL19">
        <f>D19-'Run 1 (Alex)'!D208</f>
        <v>0.29999999999995453</v>
      </c>
      <c r="AM19">
        <f>D39-'Run 1 (Alex)'!D124</f>
        <v>9.9999999999909051E-3</v>
      </c>
      <c r="AN19">
        <f>D79-'Run 1 (Alex)'!D313</f>
        <v>4.0000000000020464E-2</v>
      </c>
      <c r="AO19">
        <f>E19-'Run 1 (Alex)'!E208</f>
        <v>289.05999999999995</v>
      </c>
    </row>
    <row r="20" spans="1:41" x14ac:dyDescent="0.25">
      <c r="A20" t="s">
        <v>7</v>
      </c>
      <c r="B20">
        <v>90</v>
      </c>
      <c r="C20">
        <v>4175.13</v>
      </c>
      <c r="D20">
        <v>805.23</v>
      </c>
      <c r="E20">
        <v>558.6</v>
      </c>
      <c r="F20">
        <v>42.751399999999997</v>
      </c>
      <c r="G20">
        <v>1.0999999999999999E-2</v>
      </c>
      <c r="H20">
        <f t="shared" si="0"/>
        <v>0.19286345574868327</v>
      </c>
      <c r="I20">
        <f t="shared" si="1"/>
        <v>0.13379224119967523</v>
      </c>
      <c r="J20">
        <f t="shared" si="2"/>
        <v>246.63</v>
      </c>
      <c r="AL20">
        <f>D20-'Run 1 (Alex)'!D209</f>
        <v>0.37999999999999545</v>
      </c>
      <c r="AM20">
        <f>D40-'Run 1 (Alex)'!D125</f>
        <v>1.9999999999996021E-2</v>
      </c>
      <c r="AN20">
        <f>D80-'Run 1 (Alex)'!D314</f>
        <v>-4.0000000000020464E-2</v>
      </c>
      <c r="AO20">
        <f>E20-'Run 1 (Alex)'!E209</f>
        <v>384.77</v>
      </c>
    </row>
    <row r="21" spans="1:41" x14ac:dyDescent="0.25">
      <c r="A21" t="s">
        <v>7</v>
      </c>
      <c r="B21">
        <v>95</v>
      </c>
      <c r="C21">
        <v>4175.13</v>
      </c>
      <c r="D21">
        <v>1253.42</v>
      </c>
      <c r="E21">
        <v>858.23</v>
      </c>
      <c r="F21">
        <v>44.884399999999999</v>
      </c>
      <c r="G21">
        <v>1.2999999999999999E-2</v>
      </c>
      <c r="H21">
        <f t="shared" si="0"/>
        <v>0.30021101139365719</v>
      </c>
      <c r="I21">
        <f t="shared" si="1"/>
        <v>0.20555767125814045</v>
      </c>
      <c r="J21">
        <f t="shared" si="2"/>
        <v>395.19000000000005</v>
      </c>
      <c r="AL21">
        <f>D21-'Run 1 (Alex)'!D210</f>
        <v>1.5399999999999636</v>
      </c>
      <c r="AM21">
        <f>D41-'Run 1 (Alex)'!D126</f>
        <v>4.9999999999982947E-2</v>
      </c>
      <c r="AN21">
        <f>D81-'Run 1 (Alex)'!D315</f>
        <v>0.15999999999996817</v>
      </c>
      <c r="AO21">
        <f>E21-'Run 1 (Alex)'!E210</f>
        <v>578.08000000000004</v>
      </c>
    </row>
    <row r="22" spans="1:41" x14ac:dyDescent="0.25">
      <c r="A22" t="s">
        <v>8</v>
      </c>
      <c r="B22">
        <v>0</v>
      </c>
      <c r="C22">
        <v>398.17</v>
      </c>
      <c r="D22">
        <v>14.7</v>
      </c>
      <c r="E22">
        <v>7.5</v>
      </c>
      <c r="F22">
        <v>4.7777000000000003</v>
      </c>
      <c r="G22">
        <v>1E-3</v>
      </c>
      <c r="H22">
        <f t="shared" si="0"/>
        <v>3.6918903985734733E-2</v>
      </c>
      <c r="I22">
        <f t="shared" si="1"/>
        <v>1.8836175502925885E-2</v>
      </c>
      <c r="J22">
        <f t="shared" si="2"/>
        <v>7.1999999999999993</v>
      </c>
    </row>
    <row r="23" spans="1:41" x14ac:dyDescent="0.25">
      <c r="A23" t="s">
        <v>8</v>
      </c>
      <c r="B23">
        <v>5</v>
      </c>
      <c r="C23">
        <v>398.17</v>
      </c>
      <c r="D23">
        <v>16.18</v>
      </c>
      <c r="E23">
        <v>8.7899999999999991</v>
      </c>
      <c r="F23">
        <v>4.7691999999999997</v>
      </c>
      <c r="G23">
        <v>2E-3</v>
      </c>
      <c r="H23">
        <f t="shared" si="0"/>
        <v>4.0635909284978775E-2</v>
      </c>
      <c r="I23">
        <f t="shared" si="1"/>
        <v>2.2075997689429135E-2</v>
      </c>
      <c r="J23">
        <f t="shared" si="2"/>
        <v>7.3900000000000006</v>
      </c>
    </row>
    <row r="24" spans="1:41" x14ac:dyDescent="0.25">
      <c r="A24" t="s">
        <v>8</v>
      </c>
      <c r="B24">
        <v>10</v>
      </c>
      <c r="C24">
        <v>398.17</v>
      </c>
      <c r="D24">
        <v>20.7</v>
      </c>
      <c r="E24">
        <v>12.67</v>
      </c>
      <c r="F24">
        <v>4.8456999999999999</v>
      </c>
      <c r="G24">
        <v>1.1999999999999999E-3</v>
      </c>
      <c r="H24">
        <f t="shared" si="0"/>
        <v>5.1987844388075438E-2</v>
      </c>
      <c r="I24">
        <f t="shared" si="1"/>
        <v>3.1820579149609458E-2</v>
      </c>
      <c r="J24">
        <f t="shared" si="2"/>
        <v>8.0299999999999994</v>
      </c>
    </row>
    <row r="25" spans="1:41" x14ac:dyDescent="0.25">
      <c r="A25" t="s">
        <v>8</v>
      </c>
      <c r="B25">
        <v>15</v>
      </c>
      <c r="C25">
        <v>398.17</v>
      </c>
      <c r="D25">
        <v>24.79</v>
      </c>
      <c r="E25">
        <v>16.41</v>
      </c>
      <c r="F25">
        <v>5.1936999999999998</v>
      </c>
      <c r="G25">
        <v>1E-3</v>
      </c>
      <c r="H25">
        <f t="shared" si="0"/>
        <v>6.2259838762337691E-2</v>
      </c>
      <c r="I25">
        <f t="shared" si="1"/>
        <v>4.1213552000401839E-2</v>
      </c>
      <c r="J25">
        <f t="shared" si="2"/>
        <v>8.379999999999999</v>
      </c>
    </row>
    <row r="26" spans="1:41" x14ac:dyDescent="0.25">
      <c r="A26" t="s">
        <v>8</v>
      </c>
      <c r="B26">
        <v>20</v>
      </c>
      <c r="C26">
        <v>398.17</v>
      </c>
      <c r="D26">
        <v>28.77</v>
      </c>
      <c r="E26">
        <v>19.899999999999999</v>
      </c>
      <c r="F26">
        <v>4.9095000000000004</v>
      </c>
      <c r="G26">
        <v>2E-3</v>
      </c>
      <c r="H26">
        <f t="shared" si="0"/>
        <v>7.2255569229223701E-2</v>
      </c>
      <c r="I26">
        <f t="shared" si="1"/>
        <v>4.997865233443001E-2</v>
      </c>
      <c r="J26">
        <f t="shared" si="2"/>
        <v>8.870000000000001</v>
      </c>
    </row>
    <row r="27" spans="1:41" x14ac:dyDescent="0.25">
      <c r="A27" t="s">
        <v>8</v>
      </c>
      <c r="B27">
        <v>25</v>
      </c>
      <c r="C27">
        <v>398.17</v>
      </c>
      <c r="D27">
        <v>32.42</v>
      </c>
      <c r="E27">
        <v>23.1</v>
      </c>
      <c r="F27">
        <v>4.7793000000000001</v>
      </c>
      <c r="G27">
        <v>1.9E-3</v>
      </c>
      <c r="H27">
        <f t="shared" si="0"/>
        <v>8.142250797398097E-2</v>
      </c>
      <c r="I27">
        <f t="shared" si="1"/>
        <v>5.801542054901173E-2</v>
      </c>
      <c r="J27">
        <f t="shared" si="2"/>
        <v>9.32</v>
      </c>
    </row>
    <row r="28" spans="1:41" x14ac:dyDescent="0.25">
      <c r="A28" t="s">
        <v>8</v>
      </c>
      <c r="B28">
        <v>30</v>
      </c>
      <c r="C28">
        <v>398.17</v>
      </c>
      <c r="D28">
        <v>35.659999999999997</v>
      </c>
      <c r="E28">
        <v>25.94</v>
      </c>
      <c r="F28">
        <v>4.8198999999999996</v>
      </c>
      <c r="G28">
        <v>2E-3</v>
      </c>
      <c r="H28">
        <f t="shared" si="0"/>
        <v>8.9559735791244932E-2</v>
      </c>
      <c r="I28">
        <f t="shared" si="1"/>
        <v>6.5148052339452991E-2</v>
      </c>
      <c r="J28">
        <f t="shared" si="2"/>
        <v>9.7199999999999953</v>
      </c>
    </row>
    <row r="29" spans="1:41" x14ac:dyDescent="0.25">
      <c r="A29" t="s">
        <v>8</v>
      </c>
      <c r="B29">
        <v>35</v>
      </c>
      <c r="C29">
        <v>398.17</v>
      </c>
      <c r="D29">
        <v>38.74</v>
      </c>
      <c r="E29">
        <v>28.79</v>
      </c>
      <c r="F29">
        <v>4.8747999999999996</v>
      </c>
      <c r="G29">
        <v>1.6000000000000001E-3</v>
      </c>
      <c r="H29">
        <f t="shared" si="0"/>
        <v>9.7295125197779844E-2</v>
      </c>
      <c r="I29">
        <f t="shared" si="1"/>
        <v>7.2305799030564832E-2</v>
      </c>
      <c r="J29">
        <f t="shared" si="2"/>
        <v>9.9500000000000028</v>
      </c>
    </row>
    <row r="30" spans="1:41" x14ac:dyDescent="0.25">
      <c r="A30" t="s">
        <v>8</v>
      </c>
      <c r="B30">
        <v>40</v>
      </c>
      <c r="C30">
        <v>398.17</v>
      </c>
      <c r="D30">
        <v>41.25</v>
      </c>
      <c r="E30">
        <v>30.99</v>
      </c>
      <c r="F30">
        <v>4.8992000000000004</v>
      </c>
      <c r="G30">
        <v>1E-3</v>
      </c>
      <c r="H30">
        <f t="shared" si="0"/>
        <v>0.10359896526609237</v>
      </c>
      <c r="I30">
        <f t="shared" si="1"/>
        <v>7.783107717808975E-2</v>
      </c>
      <c r="J30">
        <f t="shared" si="2"/>
        <v>10.260000000000002</v>
      </c>
    </row>
    <row r="31" spans="1:41" x14ac:dyDescent="0.25">
      <c r="A31" t="s">
        <v>8</v>
      </c>
      <c r="B31">
        <v>45</v>
      </c>
      <c r="C31">
        <v>398.17</v>
      </c>
      <c r="D31">
        <v>44.26</v>
      </c>
      <c r="E31">
        <v>33.57</v>
      </c>
      <c r="F31">
        <v>5.0548999999999999</v>
      </c>
      <c r="G31">
        <v>1E-3</v>
      </c>
      <c r="H31">
        <f t="shared" si="0"/>
        <v>0.11115855036793329</v>
      </c>
      <c r="I31">
        <f t="shared" si="1"/>
        <v>8.4310721551096257E-2</v>
      </c>
      <c r="J31">
        <f t="shared" si="2"/>
        <v>10.689999999999998</v>
      </c>
    </row>
    <row r="32" spans="1:41" x14ac:dyDescent="0.25">
      <c r="A32" t="s">
        <v>8</v>
      </c>
      <c r="B32">
        <v>50</v>
      </c>
      <c r="C32">
        <v>398.17</v>
      </c>
      <c r="D32">
        <v>46.83</v>
      </c>
      <c r="E32">
        <v>35.74</v>
      </c>
      <c r="F32">
        <v>4.9145000000000003</v>
      </c>
      <c r="G32">
        <v>2E-3</v>
      </c>
      <c r="H32">
        <f t="shared" si="0"/>
        <v>0.11761307984026922</v>
      </c>
      <c r="I32">
        <f t="shared" si="1"/>
        <v>8.9760654996609485E-2</v>
      </c>
      <c r="J32">
        <f t="shared" si="2"/>
        <v>11.089999999999996</v>
      </c>
    </row>
    <row r="33" spans="1:10" x14ac:dyDescent="0.25">
      <c r="A33" t="s">
        <v>8</v>
      </c>
      <c r="B33">
        <v>55</v>
      </c>
      <c r="C33">
        <v>398.17</v>
      </c>
      <c r="D33">
        <v>49.43</v>
      </c>
      <c r="E33">
        <v>38.06</v>
      </c>
      <c r="F33">
        <v>5.0035999999999996</v>
      </c>
      <c r="G33">
        <v>2E-3</v>
      </c>
      <c r="H33">
        <f t="shared" si="0"/>
        <v>0.12414295401461686</v>
      </c>
      <c r="I33">
        <f t="shared" si="1"/>
        <v>9.5587311952181231E-2</v>
      </c>
      <c r="J33">
        <f t="shared" si="2"/>
        <v>11.369999999999997</v>
      </c>
    </row>
    <row r="34" spans="1:10" x14ac:dyDescent="0.25">
      <c r="A34" t="s">
        <v>8</v>
      </c>
      <c r="B34">
        <v>60</v>
      </c>
      <c r="C34">
        <v>398.17</v>
      </c>
      <c r="D34">
        <v>52.81</v>
      </c>
      <c r="E34">
        <v>41.02</v>
      </c>
      <c r="F34">
        <v>4.8810000000000002</v>
      </c>
      <c r="G34">
        <v>2E-3</v>
      </c>
      <c r="H34">
        <f t="shared" si="0"/>
        <v>0.1326317904412688</v>
      </c>
      <c r="I34">
        <f t="shared" si="1"/>
        <v>0.10302132255066931</v>
      </c>
      <c r="J34">
        <f t="shared" si="2"/>
        <v>11.79</v>
      </c>
    </row>
    <row r="35" spans="1:10" x14ac:dyDescent="0.25">
      <c r="A35" t="s">
        <v>8</v>
      </c>
      <c r="B35">
        <v>65</v>
      </c>
      <c r="C35">
        <v>398.17</v>
      </c>
      <c r="D35">
        <v>57.18</v>
      </c>
      <c r="E35">
        <v>44.51</v>
      </c>
      <c r="F35">
        <v>4.9253</v>
      </c>
      <c r="G35">
        <v>2E-3</v>
      </c>
      <c r="H35">
        <f t="shared" si="0"/>
        <v>0.14360700203430696</v>
      </c>
      <c r="I35">
        <f t="shared" si="1"/>
        <v>0.11178642288469748</v>
      </c>
      <c r="J35">
        <f t="shared" si="2"/>
        <v>12.670000000000002</v>
      </c>
    </row>
    <row r="36" spans="1:10" x14ac:dyDescent="0.25">
      <c r="A36" t="s">
        <v>8</v>
      </c>
      <c r="B36">
        <v>70</v>
      </c>
      <c r="C36">
        <v>398.17</v>
      </c>
      <c r="D36">
        <v>62.01</v>
      </c>
      <c r="E36">
        <v>48.73</v>
      </c>
      <c r="F36">
        <v>4.9103000000000003</v>
      </c>
      <c r="G36">
        <v>2E-3</v>
      </c>
      <c r="H36">
        <f t="shared" si="0"/>
        <v>0.1557374990581912</v>
      </c>
      <c r="I36">
        <f t="shared" si="1"/>
        <v>0.1223849109676771</v>
      </c>
      <c r="J36">
        <f t="shared" si="2"/>
        <v>13.280000000000001</v>
      </c>
    </row>
    <row r="37" spans="1:10" x14ac:dyDescent="0.25">
      <c r="A37" t="s">
        <v>8</v>
      </c>
      <c r="B37">
        <v>75</v>
      </c>
      <c r="C37">
        <v>398.17</v>
      </c>
      <c r="D37">
        <v>67.72</v>
      </c>
      <c r="E37">
        <v>53.46</v>
      </c>
      <c r="F37">
        <v>5.0631000000000004</v>
      </c>
      <c r="G37">
        <v>1E-3</v>
      </c>
      <c r="H37">
        <f t="shared" si="0"/>
        <v>0.17007810734108544</v>
      </c>
      <c r="I37">
        <f t="shared" si="1"/>
        <v>0.13426425898485572</v>
      </c>
      <c r="J37">
        <f t="shared" si="2"/>
        <v>14.259999999999998</v>
      </c>
    </row>
    <row r="38" spans="1:10" x14ac:dyDescent="0.25">
      <c r="A38" t="s">
        <v>8</v>
      </c>
      <c r="B38">
        <v>80</v>
      </c>
      <c r="C38">
        <v>398.17</v>
      </c>
      <c r="D38">
        <v>76.569999999999993</v>
      </c>
      <c r="E38">
        <v>60.85</v>
      </c>
      <c r="F38">
        <v>5.2343000000000002</v>
      </c>
      <c r="G38">
        <v>2E-3</v>
      </c>
      <c r="H38">
        <f t="shared" si="0"/>
        <v>0.19230479443453799</v>
      </c>
      <c r="I38">
        <f t="shared" si="1"/>
        <v>0.15282417058040534</v>
      </c>
      <c r="J38">
        <f t="shared" si="2"/>
        <v>15.719999999999992</v>
      </c>
    </row>
    <row r="39" spans="1:10" x14ac:dyDescent="0.25">
      <c r="A39" t="s">
        <v>8</v>
      </c>
      <c r="B39">
        <v>85</v>
      </c>
      <c r="C39">
        <v>398.17</v>
      </c>
      <c r="D39">
        <v>88.74</v>
      </c>
      <c r="E39">
        <v>70.930000000000007</v>
      </c>
      <c r="F39">
        <v>5.0429000000000004</v>
      </c>
      <c r="G39">
        <v>2E-3</v>
      </c>
      <c r="H39">
        <f t="shared" si="0"/>
        <v>0.22286962855061906</v>
      </c>
      <c r="I39">
        <f t="shared" si="1"/>
        <v>0.17813999045633774</v>
      </c>
      <c r="J39">
        <f t="shared" si="2"/>
        <v>17.809999999999988</v>
      </c>
    </row>
    <row r="40" spans="1:10" x14ac:dyDescent="0.25">
      <c r="A40" t="s">
        <v>8</v>
      </c>
      <c r="B40">
        <v>90</v>
      </c>
      <c r="C40">
        <v>398.17</v>
      </c>
      <c r="D40">
        <v>110.27</v>
      </c>
      <c r="E40">
        <v>87.36</v>
      </c>
      <c r="F40">
        <v>5.3623000000000003</v>
      </c>
      <c r="G40">
        <v>2E-3</v>
      </c>
      <c r="H40">
        <f t="shared" si="0"/>
        <v>0.27694200969435162</v>
      </c>
      <c r="I40">
        <f t="shared" si="1"/>
        <v>0.21940377225808072</v>
      </c>
      <c r="J40">
        <f t="shared" si="2"/>
        <v>22.909999999999997</v>
      </c>
    </row>
    <row r="41" spans="1:10" x14ac:dyDescent="0.25">
      <c r="A41" t="s">
        <v>8</v>
      </c>
      <c r="B41">
        <v>95</v>
      </c>
      <c r="C41">
        <v>398.17</v>
      </c>
      <c r="D41">
        <v>157.13999999999999</v>
      </c>
      <c r="E41">
        <v>120.82</v>
      </c>
      <c r="F41">
        <v>5.36</v>
      </c>
      <c r="G41">
        <v>3.0000000000000001E-3</v>
      </c>
      <c r="H41">
        <f t="shared" si="0"/>
        <v>0.39465554913730311</v>
      </c>
      <c r="I41">
        <f t="shared" si="1"/>
        <v>0.30343822990180069</v>
      </c>
      <c r="J41">
        <f t="shared" si="2"/>
        <v>36.319999999999993</v>
      </c>
    </row>
    <row r="42" spans="1:10" x14ac:dyDescent="0.25">
      <c r="A42" t="s">
        <v>9</v>
      </c>
      <c r="B42">
        <v>0</v>
      </c>
      <c r="C42">
        <v>95.64</v>
      </c>
      <c r="D42">
        <v>25.47</v>
      </c>
      <c r="E42">
        <v>12.46</v>
      </c>
      <c r="F42">
        <v>9.9914000000000005</v>
      </c>
      <c r="G42">
        <v>2E-3</v>
      </c>
      <c r="H42">
        <f t="shared" si="0"/>
        <v>0.26631116687578416</v>
      </c>
      <c r="I42">
        <f t="shared" si="1"/>
        <v>0.13028021748222501</v>
      </c>
      <c r="J42">
        <f t="shared" si="2"/>
        <v>13.009999999999998</v>
      </c>
    </row>
    <row r="43" spans="1:10" x14ac:dyDescent="0.25">
      <c r="A43" t="s">
        <v>9</v>
      </c>
      <c r="B43">
        <v>5</v>
      </c>
      <c r="C43">
        <v>95.64</v>
      </c>
      <c r="D43">
        <v>29.1</v>
      </c>
      <c r="E43">
        <v>14.52</v>
      </c>
      <c r="F43">
        <v>9.8435000000000006</v>
      </c>
      <c r="G43">
        <v>2E-3</v>
      </c>
      <c r="H43">
        <f t="shared" si="0"/>
        <v>0.30426599749058975</v>
      </c>
      <c r="I43">
        <f t="shared" si="1"/>
        <v>0.15181932245922208</v>
      </c>
      <c r="J43">
        <f t="shared" si="2"/>
        <v>14.580000000000002</v>
      </c>
    </row>
    <row r="44" spans="1:10" x14ac:dyDescent="0.25">
      <c r="A44" t="s">
        <v>9</v>
      </c>
      <c r="B44">
        <v>10</v>
      </c>
      <c r="C44">
        <v>95.64</v>
      </c>
      <c r="D44">
        <v>35.89</v>
      </c>
      <c r="E44">
        <v>19.36</v>
      </c>
      <c r="F44">
        <v>9.2530000000000001</v>
      </c>
      <c r="G44">
        <v>2E-3</v>
      </c>
      <c r="H44">
        <f t="shared" si="0"/>
        <v>0.37526139690506066</v>
      </c>
      <c r="I44">
        <f t="shared" si="1"/>
        <v>0.20242576327896278</v>
      </c>
      <c r="J44">
        <f t="shared" si="2"/>
        <v>16.53</v>
      </c>
    </row>
    <row r="45" spans="1:10" x14ac:dyDescent="0.25">
      <c r="A45" t="s">
        <v>9</v>
      </c>
      <c r="B45">
        <v>15</v>
      </c>
      <c r="C45">
        <v>95.64</v>
      </c>
      <c r="D45">
        <v>42.39</v>
      </c>
      <c r="E45">
        <v>23.2</v>
      </c>
      <c r="F45">
        <v>9.3294999999999995</v>
      </c>
      <c r="G45">
        <v>2E-3</v>
      </c>
      <c r="H45">
        <f t="shared" si="0"/>
        <v>0.44322459222082811</v>
      </c>
      <c r="I45">
        <f t="shared" si="1"/>
        <v>0.2425763278962777</v>
      </c>
      <c r="J45">
        <f t="shared" si="2"/>
        <v>19.190000000000001</v>
      </c>
    </row>
    <row r="46" spans="1:10" x14ac:dyDescent="0.25">
      <c r="A46" t="s">
        <v>9</v>
      </c>
      <c r="B46">
        <v>20</v>
      </c>
      <c r="C46">
        <v>95.64</v>
      </c>
      <c r="D46">
        <v>48.9</v>
      </c>
      <c r="E46">
        <v>27.03</v>
      </c>
      <c r="F46">
        <v>9.1229999999999993</v>
      </c>
      <c r="G46">
        <v>2E-3</v>
      </c>
      <c r="H46">
        <f t="shared" si="0"/>
        <v>0.51129234629861986</v>
      </c>
      <c r="I46">
        <f t="shared" si="1"/>
        <v>0.28262233375156837</v>
      </c>
      <c r="J46">
        <f t="shared" si="2"/>
        <v>21.869999999999997</v>
      </c>
    </row>
    <row r="47" spans="1:10" x14ac:dyDescent="0.25">
      <c r="A47" t="s">
        <v>9</v>
      </c>
      <c r="B47">
        <v>25</v>
      </c>
      <c r="C47">
        <v>95.64</v>
      </c>
      <c r="D47">
        <v>54.54</v>
      </c>
      <c r="E47">
        <v>30.16</v>
      </c>
      <c r="F47">
        <v>9.3428000000000004</v>
      </c>
      <c r="G47">
        <v>2E-3</v>
      </c>
      <c r="H47">
        <f t="shared" si="0"/>
        <v>0.57026348808030114</v>
      </c>
      <c r="I47">
        <f t="shared" si="1"/>
        <v>0.31534922626516104</v>
      </c>
      <c r="J47">
        <f t="shared" si="2"/>
        <v>24.38</v>
      </c>
    </row>
    <row r="48" spans="1:10" x14ac:dyDescent="0.25">
      <c r="A48" t="s">
        <v>9</v>
      </c>
      <c r="B48">
        <v>30</v>
      </c>
      <c r="C48">
        <v>95.64</v>
      </c>
      <c r="D48">
        <v>58.88</v>
      </c>
      <c r="E48">
        <v>33.47</v>
      </c>
      <c r="F48">
        <v>9.0734999999999992</v>
      </c>
      <c r="G48">
        <v>2E-3</v>
      </c>
      <c r="H48">
        <f t="shared" si="0"/>
        <v>0.61564199079882898</v>
      </c>
      <c r="I48">
        <f t="shared" si="1"/>
        <v>0.34995817649519029</v>
      </c>
      <c r="J48">
        <f t="shared" si="2"/>
        <v>25.410000000000004</v>
      </c>
    </row>
    <row r="49" spans="1:10" x14ac:dyDescent="0.25">
      <c r="A49" t="s">
        <v>9</v>
      </c>
      <c r="B49">
        <v>35</v>
      </c>
      <c r="C49">
        <v>95.64</v>
      </c>
      <c r="D49">
        <v>65.540000000000006</v>
      </c>
      <c r="E49">
        <v>37.68</v>
      </c>
      <c r="F49">
        <v>9.6976999999999993</v>
      </c>
      <c r="G49">
        <v>2E-3</v>
      </c>
      <c r="H49">
        <f t="shared" si="0"/>
        <v>0.68527812630698459</v>
      </c>
      <c r="I49">
        <f t="shared" si="1"/>
        <v>0.39397741530740277</v>
      </c>
      <c r="J49">
        <f t="shared" si="2"/>
        <v>27.860000000000007</v>
      </c>
    </row>
    <row r="50" spans="1:10" x14ac:dyDescent="0.25">
      <c r="A50" t="s">
        <v>9</v>
      </c>
      <c r="B50">
        <v>40</v>
      </c>
      <c r="C50">
        <v>95.64</v>
      </c>
      <c r="D50">
        <v>70.03</v>
      </c>
      <c r="E50">
        <v>39.11</v>
      </c>
      <c r="F50">
        <v>9.2306000000000008</v>
      </c>
      <c r="G50">
        <v>2E-3</v>
      </c>
      <c r="H50">
        <f t="shared" si="0"/>
        <v>0.73222501045587618</v>
      </c>
      <c r="I50">
        <f t="shared" si="1"/>
        <v>0.40892931827687157</v>
      </c>
      <c r="J50">
        <f t="shared" si="2"/>
        <v>30.92</v>
      </c>
    </row>
    <row r="51" spans="1:10" x14ac:dyDescent="0.25">
      <c r="A51" t="s">
        <v>9</v>
      </c>
      <c r="B51">
        <v>45</v>
      </c>
      <c r="C51">
        <v>95.64</v>
      </c>
      <c r="D51">
        <v>73.489999999999995</v>
      </c>
      <c r="E51">
        <v>40.619999999999997</v>
      </c>
      <c r="F51">
        <v>9.5361999999999991</v>
      </c>
      <c r="G51">
        <v>3.0000000000000001E-3</v>
      </c>
      <c r="H51">
        <f t="shared" si="0"/>
        <v>0.76840234211626923</v>
      </c>
      <c r="I51">
        <f t="shared" si="1"/>
        <v>0.42471769134253445</v>
      </c>
      <c r="J51">
        <f t="shared" si="2"/>
        <v>32.869999999999997</v>
      </c>
    </row>
    <row r="52" spans="1:10" x14ac:dyDescent="0.25">
      <c r="A52" t="s">
        <v>9</v>
      </c>
      <c r="B52">
        <v>50</v>
      </c>
      <c r="C52">
        <v>95.64</v>
      </c>
      <c r="D52">
        <v>75.680000000000007</v>
      </c>
      <c r="E52">
        <v>42.18</v>
      </c>
      <c r="F52">
        <v>9.4710000000000001</v>
      </c>
      <c r="G52">
        <v>2E-3</v>
      </c>
      <c r="H52">
        <f t="shared" si="0"/>
        <v>0.79130071099958188</v>
      </c>
      <c r="I52">
        <f t="shared" si="1"/>
        <v>0.44102885821831866</v>
      </c>
      <c r="J52">
        <f t="shared" si="2"/>
        <v>33.500000000000007</v>
      </c>
    </row>
    <row r="53" spans="1:10" x14ac:dyDescent="0.25">
      <c r="A53" t="s">
        <v>9</v>
      </c>
      <c r="B53">
        <v>55</v>
      </c>
      <c r="C53">
        <v>95.64</v>
      </c>
      <c r="D53">
        <v>78.27</v>
      </c>
      <c r="E53">
        <v>44.29</v>
      </c>
      <c r="F53">
        <v>9.5556999999999999</v>
      </c>
      <c r="G53">
        <v>3.0000000000000001E-3</v>
      </c>
      <c r="H53">
        <f t="shared" si="0"/>
        <v>0.81838143036386446</v>
      </c>
      <c r="I53">
        <f t="shared" si="1"/>
        <v>0.46309075700543706</v>
      </c>
      <c r="J53">
        <f t="shared" si="2"/>
        <v>33.979999999999997</v>
      </c>
    </row>
    <row r="54" spans="1:10" x14ac:dyDescent="0.25">
      <c r="A54" t="s">
        <v>9</v>
      </c>
      <c r="B54">
        <v>60</v>
      </c>
      <c r="C54">
        <v>95.64</v>
      </c>
      <c r="D54">
        <v>87.8</v>
      </c>
      <c r="E54">
        <v>53.72</v>
      </c>
      <c r="F54">
        <v>9.6005000000000003</v>
      </c>
      <c r="G54">
        <v>2E-3</v>
      </c>
      <c r="H54">
        <f t="shared" si="0"/>
        <v>0.91802593057298199</v>
      </c>
      <c r="I54">
        <f t="shared" si="1"/>
        <v>0.56168966959431199</v>
      </c>
      <c r="J54">
        <f t="shared" si="2"/>
        <v>34.08</v>
      </c>
    </row>
    <row r="55" spans="1:10" x14ac:dyDescent="0.25">
      <c r="A55" t="s">
        <v>9</v>
      </c>
      <c r="B55">
        <v>65</v>
      </c>
      <c r="C55">
        <v>95.64</v>
      </c>
      <c r="D55">
        <v>95.25</v>
      </c>
      <c r="E55">
        <v>60.18</v>
      </c>
      <c r="F55">
        <v>9.6455000000000002</v>
      </c>
      <c r="G55">
        <v>3.0000000000000001E-3</v>
      </c>
      <c r="H55">
        <f t="shared" si="0"/>
        <v>0.99592220828105393</v>
      </c>
      <c r="I55">
        <f t="shared" si="1"/>
        <v>0.62923462986198242</v>
      </c>
      <c r="J55">
        <f t="shared" si="2"/>
        <v>35.07</v>
      </c>
    </row>
    <row r="56" spans="1:10" x14ac:dyDescent="0.25">
      <c r="A56" t="s">
        <v>9</v>
      </c>
      <c r="B56">
        <v>70</v>
      </c>
      <c r="C56">
        <v>95.64</v>
      </c>
      <c r="D56">
        <v>98.96</v>
      </c>
      <c r="E56">
        <v>63.32</v>
      </c>
      <c r="F56">
        <v>9.7981999999999996</v>
      </c>
      <c r="G56">
        <v>3.0000000000000001E-3</v>
      </c>
      <c r="H56">
        <f t="shared" si="0"/>
        <v>1.0347135089920534</v>
      </c>
      <c r="I56">
        <f t="shared" si="1"/>
        <v>0.66206608113759935</v>
      </c>
      <c r="J56">
        <f t="shared" si="2"/>
        <v>35.639999999999993</v>
      </c>
    </row>
    <row r="57" spans="1:10" x14ac:dyDescent="0.25">
      <c r="A57" t="s">
        <v>9</v>
      </c>
      <c r="B57">
        <v>75</v>
      </c>
      <c r="C57">
        <v>95.64</v>
      </c>
      <c r="D57">
        <v>103.52</v>
      </c>
      <c r="E57">
        <v>67.239999999999995</v>
      </c>
      <c r="F57">
        <v>9.6471</v>
      </c>
      <c r="G57">
        <v>2E-3</v>
      </c>
      <c r="H57">
        <f t="shared" si="0"/>
        <v>1.0823923044751149</v>
      </c>
      <c r="I57">
        <f t="shared" si="1"/>
        <v>0.7030531158511083</v>
      </c>
      <c r="J57">
        <f t="shared" si="2"/>
        <v>36.28</v>
      </c>
    </row>
    <row r="58" spans="1:10" x14ac:dyDescent="0.25">
      <c r="A58" t="s">
        <v>9</v>
      </c>
      <c r="B58">
        <v>80</v>
      </c>
      <c r="C58">
        <v>95.64</v>
      </c>
      <c r="D58">
        <v>111.51</v>
      </c>
      <c r="E58">
        <v>72.150000000000006</v>
      </c>
      <c r="F58">
        <v>9.6264000000000003</v>
      </c>
      <c r="G58">
        <v>3.0000000000000001E-3</v>
      </c>
      <c r="H58">
        <f t="shared" si="0"/>
        <v>1.165934755332497</v>
      </c>
      <c r="I58">
        <f t="shared" si="1"/>
        <v>0.75439146800501888</v>
      </c>
      <c r="J58">
        <f t="shared" si="2"/>
        <v>39.36</v>
      </c>
    </row>
    <row r="59" spans="1:10" x14ac:dyDescent="0.25">
      <c r="A59" t="s">
        <v>9</v>
      </c>
      <c r="B59">
        <v>85</v>
      </c>
      <c r="C59">
        <v>95.64</v>
      </c>
      <c r="D59">
        <v>119.77</v>
      </c>
      <c r="E59">
        <v>79.27</v>
      </c>
      <c r="F59">
        <v>9.7578999999999994</v>
      </c>
      <c r="G59">
        <v>3.0000000000000001E-3</v>
      </c>
      <c r="H59">
        <f t="shared" si="0"/>
        <v>1.2523002927645337</v>
      </c>
      <c r="I59">
        <f t="shared" si="1"/>
        <v>0.82883730656629018</v>
      </c>
      <c r="J59">
        <f t="shared" si="2"/>
        <v>40.5</v>
      </c>
    </row>
    <row r="60" spans="1:10" x14ac:dyDescent="0.25">
      <c r="A60" t="s">
        <v>9</v>
      </c>
      <c r="B60">
        <v>90</v>
      </c>
      <c r="C60">
        <v>95.64</v>
      </c>
      <c r="D60">
        <v>144.38</v>
      </c>
      <c r="E60">
        <v>99.38</v>
      </c>
      <c r="F60">
        <v>9.6010000000000009</v>
      </c>
      <c r="G60">
        <v>2E-3</v>
      </c>
      <c r="H60">
        <f t="shared" si="0"/>
        <v>1.5096194061062316</v>
      </c>
      <c r="I60">
        <f t="shared" si="1"/>
        <v>1.0391049769970724</v>
      </c>
      <c r="J60">
        <f t="shared" si="2"/>
        <v>45</v>
      </c>
    </row>
    <row r="61" spans="1:10" x14ac:dyDescent="0.25">
      <c r="A61" t="s">
        <v>9</v>
      </c>
      <c r="B61">
        <v>95</v>
      </c>
      <c r="C61">
        <v>95.64</v>
      </c>
      <c r="D61">
        <v>190.78</v>
      </c>
      <c r="E61">
        <v>131.32</v>
      </c>
      <c r="F61">
        <v>9.6563999999999997</v>
      </c>
      <c r="G61">
        <v>3.0000000000000001E-3</v>
      </c>
      <c r="H61">
        <f t="shared" si="0"/>
        <v>1.9947720618987872</v>
      </c>
      <c r="I61">
        <f t="shared" si="1"/>
        <v>1.3730656629025511</v>
      </c>
      <c r="J61">
        <f t="shared" si="2"/>
        <v>59.460000000000008</v>
      </c>
    </row>
    <row r="62" spans="1:10" x14ac:dyDescent="0.25">
      <c r="A62" t="s">
        <v>10</v>
      </c>
      <c r="B62">
        <v>0</v>
      </c>
      <c r="C62">
        <v>1697.71</v>
      </c>
      <c r="D62">
        <v>33.61</v>
      </c>
      <c r="E62">
        <v>18.05</v>
      </c>
      <c r="F62">
        <v>9.4937000000000005</v>
      </c>
      <c r="G62">
        <v>2.3999999999999998E-3</v>
      </c>
      <c r="H62">
        <f t="shared" si="0"/>
        <v>1.9797256304080201E-2</v>
      </c>
      <c r="I62">
        <f t="shared" si="1"/>
        <v>1.0631968946404275E-2</v>
      </c>
      <c r="J62">
        <f t="shared" si="2"/>
        <v>15.559999999999999</v>
      </c>
    </row>
    <row r="63" spans="1:10" x14ac:dyDescent="0.25">
      <c r="A63" t="s">
        <v>10</v>
      </c>
      <c r="B63">
        <v>5</v>
      </c>
      <c r="C63">
        <v>1697.71</v>
      </c>
      <c r="D63">
        <v>39.24</v>
      </c>
      <c r="E63">
        <v>23.29</v>
      </c>
      <c r="F63">
        <v>9.4162999999999997</v>
      </c>
      <c r="G63">
        <v>2.7000000000000001E-3</v>
      </c>
      <c r="H63">
        <f t="shared" si="0"/>
        <v>2.3113488169357547E-2</v>
      </c>
      <c r="I63">
        <f t="shared" si="1"/>
        <v>1.3718479598989227E-2</v>
      </c>
      <c r="J63">
        <f t="shared" si="2"/>
        <v>15.950000000000003</v>
      </c>
    </row>
    <row r="64" spans="1:10" x14ac:dyDescent="0.25">
      <c r="A64" t="s">
        <v>10</v>
      </c>
      <c r="B64">
        <v>10</v>
      </c>
      <c r="C64">
        <v>1697.71</v>
      </c>
      <c r="D64">
        <v>50.87</v>
      </c>
      <c r="E64">
        <v>33.61</v>
      </c>
      <c r="F64">
        <v>9.4890000000000008</v>
      </c>
      <c r="G64">
        <v>3.0000000000000001E-3</v>
      </c>
      <c r="H64">
        <f t="shared" si="0"/>
        <v>2.9963892537594759E-2</v>
      </c>
      <c r="I64">
        <f t="shared" si="1"/>
        <v>1.9797256304080201E-2</v>
      </c>
      <c r="J64">
        <f t="shared" si="2"/>
        <v>17.259999999999998</v>
      </c>
    </row>
    <row r="65" spans="1:10" x14ac:dyDescent="0.25">
      <c r="A65" t="s">
        <v>10</v>
      </c>
      <c r="B65">
        <v>15</v>
      </c>
      <c r="C65">
        <v>1697.71</v>
      </c>
      <c r="D65">
        <v>61.86</v>
      </c>
      <c r="E65">
        <v>42.91</v>
      </c>
      <c r="F65">
        <v>9.3581000000000003</v>
      </c>
      <c r="G65">
        <v>3.5999999999999999E-3</v>
      </c>
      <c r="H65">
        <f t="shared" si="0"/>
        <v>3.643731850551625E-2</v>
      </c>
      <c r="I65">
        <f t="shared" si="1"/>
        <v>2.5275223683667997E-2</v>
      </c>
      <c r="J65">
        <f t="shared" si="2"/>
        <v>18.950000000000003</v>
      </c>
    </row>
    <row r="66" spans="1:10" x14ac:dyDescent="0.25">
      <c r="A66" t="s">
        <v>10</v>
      </c>
      <c r="B66">
        <v>20</v>
      </c>
      <c r="C66">
        <v>1697.71</v>
      </c>
      <c r="D66">
        <v>73.78</v>
      </c>
      <c r="E66">
        <v>51.68</v>
      </c>
      <c r="F66">
        <v>9.5687999999999995</v>
      </c>
      <c r="G66">
        <v>3.0000000000000001E-3</v>
      </c>
      <c r="H66">
        <f t="shared" si="0"/>
        <v>4.3458541211396529E-2</v>
      </c>
      <c r="I66">
        <f t="shared" si="1"/>
        <v>3.0441005825494343E-2</v>
      </c>
      <c r="J66">
        <f t="shared" si="2"/>
        <v>22.1</v>
      </c>
    </row>
    <row r="67" spans="1:10" x14ac:dyDescent="0.25">
      <c r="A67" t="s">
        <v>10</v>
      </c>
      <c r="B67">
        <v>25</v>
      </c>
      <c r="C67">
        <v>1697.71</v>
      </c>
      <c r="D67">
        <v>85.85</v>
      </c>
      <c r="E67">
        <v>60.12</v>
      </c>
      <c r="F67">
        <v>9.8368000000000002</v>
      </c>
      <c r="G67">
        <v>3.0000000000000001E-3</v>
      </c>
      <c r="H67">
        <f t="shared" ref="H67:H130" si="3">D67/C67</f>
        <v>5.0568118229850793E-2</v>
      </c>
      <c r="I67">
        <f t="shared" ref="I67:I130" si="4">E67/C67</f>
        <v>3.5412408479657889E-2</v>
      </c>
      <c r="J67">
        <f t="shared" ref="J67:J130" si="5">D67-E67</f>
        <v>25.729999999999997</v>
      </c>
    </row>
    <row r="68" spans="1:10" x14ac:dyDescent="0.25">
      <c r="A68" t="s">
        <v>10</v>
      </c>
      <c r="B68">
        <v>30</v>
      </c>
      <c r="C68">
        <v>1697.71</v>
      </c>
      <c r="D68">
        <v>97.58</v>
      </c>
      <c r="E68">
        <v>68</v>
      </c>
      <c r="F68">
        <v>9.8299000000000003</v>
      </c>
      <c r="G68">
        <v>2.5000000000000001E-3</v>
      </c>
      <c r="H68">
        <f t="shared" si="3"/>
        <v>5.747742547313734E-2</v>
      </c>
      <c r="I68">
        <f t="shared" si="4"/>
        <v>4.005395503354519E-2</v>
      </c>
      <c r="J68">
        <f t="shared" si="5"/>
        <v>29.58</v>
      </c>
    </row>
    <row r="69" spans="1:10" x14ac:dyDescent="0.25">
      <c r="A69" t="s">
        <v>10</v>
      </c>
      <c r="B69">
        <v>35</v>
      </c>
      <c r="C69">
        <v>1697.71</v>
      </c>
      <c r="D69">
        <v>109.39</v>
      </c>
      <c r="E69">
        <v>75.739999999999995</v>
      </c>
      <c r="F69">
        <v>9.8945000000000007</v>
      </c>
      <c r="G69">
        <v>3.3999999999999998E-3</v>
      </c>
      <c r="H69">
        <f t="shared" si="3"/>
        <v>6.4433855016463357E-2</v>
      </c>
      <c r="I69">
        <f t="shared" si="4"/>
        <v>4.4613037562363414E-2</v>
      </c>
      <c r="J69">
        <f t="shared" si="5"/>
        <v>33.650000000000006</v>
      </c>
    </row>
    <row r="70" spans="1:10" x14ac:dyDescent="0.25">
      <c r="A70" t="s">
        <v>10</v>
      </c>
      <c r="B70">
        <v>40</v>
      </c>
      <c r="C70">
        <v>1697.71</v>
      </c>
      <c r="D70">
        <v>119.5</v>
      </c>
      <c r="E70">
        <v>82.03</v>
      </c>
      <c r="F70">
        <v>10.0358</v>
      </c>
      <c r="G70">
        <v>3.0000000000000001E-3</v>
      </c>
      <c r="H70">
        <f t="shared" si="3"/>
        <v>7.0388935683950729E-2</v>
      </c>
      <c r="I70">
        <f t="shared" si="4"/>
        <v>4.8318028402966347E-2</v>
      </c>
      <c r="J70">
        <f t="shared" si="5"/>
        <v>37.47</v>
      </c>
    </row>
    <row r="71" spans="1:10" x14ac:dyDescent="0.25">
      <c r="A71" t="s">
        <v>10</v>
      </c>
      <c r="B71">
        <v>45</v>
      </c>
      <c r="C71">
        <v>1697.71</v>
      </c>
      <c r="D71">
        <v>131.49</v>
      </c>
      <c r="E71">
        <v>89.41</v>
      </c>
      <c r="F71">
        <v>9.8363999999999994</v>
      </c>
      <c r="G71">
        <v>3.0000000000000001E-3</v>
      </c>
      <c r="H71">
        <f t="shared" si="3"/>
        <v>7.7451390402365539E-2</v>
      </c>
      <c r="I71">
        <f t="shared" si="4"/>
        <v>5.2665060581606984E-2</v>
      </c>
      <c r="J71">
        <f t="shared" si="5"/>
        <v>42.080000000000013</v>
      </c>
    </row>
    <row r="72" spans="1:10" x14ac:dyDescent="0.25">
      <c r="A72" t="s">
        <v>10</v>
      </c>
      <c r="B72">
        <v>50</v>
      </c>
      <c r="C72">
        <v>1697.71</v>
      </c>
      <c r="D72">
        <v>142.1</v>
      </c>
      <c r="E72">
        <v>95.8</v>
      </c>
      <c r="F72">
        <v>9.8721999999999994</v>
      </c>
      <c r="G72">
        <v>4.0000000000000001E-3</v>
      </c>
      <c r="H72">
        <f t="shared" si="3"/>
        <v>8.3700985445099574E-2</v>
      </c>
      <c r="I72">
        <f t="shared" si="4"/>
        <v>5.6428954297259248E-2</v>
      </c>
      <c r="J72">
        <f t="shared" si="5"/>
        <v>46.3</v>
      </c>
    </row>
    <row r="73" spans="1:10" x14ac:dyDescent="0.25">
      <c r="A73" t="s">
        <v>10</v>
      </c>
      <c r="B73">
        <v>55</v>
      </c>
      <c r="C73">
        <v>1697.71</v>
      </c>
      <c r="D73">
        <v>153.31</v>
      </c>
      <c r="E73">
        <v>102.55</v>
      </c>
      <c r="F73">
        <v>9.9332999999999991</v>
      </c>
      <c r="G73">
        <v>3.0000000000000001E-3</v>
      </c>
      <c r="H73">
        <f t="shared" si="3"/>
        <v>9.0303997738129596E-2</v>
      </c>
      <c r="I73">
        <f t="shared" si="4"/>
        <v>6.0404898363089099E-2</v>
      </c>
      <c r="J73">
        <f t="shared" si="5"/>
        <v>50.760000000000005</v>
      </c>
    </row>
    <row r="74" spans="1:10" x14ac:dyDescent="0.25">
      <c r="A74" t="s">
        <v>10</v>
      </c>
      <c r="B74">
        <v>60</v>
      </c>
      <c r="C74">
        <v>1697.71</v>
      </c>
      <c r="D74">
        <v>168.07</v>
      </c>
      <c r="E74">
        <v>111.36</v>
      </c>
      <c r="F74">
        <v>10.619300000000001</v>
      </c>
      <c r="G74">
        <v>3.2000000000000002E-3</v>
      </c>
      <c r="H74">
        <f t="shared" si="3"/>
        <v>9.8998062095410871E-2</v>
      </c>
      <c r="I74">
        <f t="shared" si="4"/>
        <v>6.5594241654935173E-2</v>
      </c>
      <c r="J74">
        <f t="shared" si="5"/>
        <v>56.709999999999994</v>
      </c>
    </row>
    <row r="75" spans="1:10" x14ac:dyDescent="0.25">
      <c r="A75" t="s">
        <v>10</v>
      </c>
      <c r="B75">
        <v>65</v>
      </c>
      <c r="C75">
        <v>1697.71</v>
      </c>
      <c r="D75">
        <v>187.11</v>
      </c>
      <c r="E75">
        <v>122.44</v>
      </c>
      <c r="F75">
        <v>10.068300000000001</v>
      </c>
      <c r="G75">
        <v>4.0000000000000001E-3</v>
      </c>
      <c r="H75">
        <f t="shared" si="3"/>
        <v>0.11021316950480353</v>
      </c>
      <c r="I75">
        <f t="shared" si="4"/>
        <v>7.2120680210401064E-2</v>
      </c>
      <c r="J75">
        <f t="shared" si="5"/>
        <v>64.670000000000016</v>
      </c>
    </row>
    <row r="76" spans="1:10" x14ac:dyDescent="0.25">
      <c r="A76" t="s">
        <v>10</v>
      </c>
      <c r="B76">
        <v>70</v>
      </c>
      <c r="C76">
        <v>1697.71</v>
      </c>
      <c r="D76">
        <v>211.69</v>
      </c>
      <c r="E76">
        <v>136.63999999999999</v>
      </c>
      <c r="F76">
        <v>10.2774</v>
      </c>
      <c r="G76">
        <v>3.0000000000000001E-3</v>
      </c>
      <c r="H76">
        <f t="shared" si="3"/>
        <v>0.12469149619192912</v>
      </c>
      <c r="I76">
        <f t="shared" si="4"/>
        <v>8.048488846740609E-2</v>
      </c>
      <c r="J76">
        <f t="shared" si="5"/>
        <v>75.050000000000011</v>
      </c>
    </row>
    <row r="77" spans="1:10" x14ac:dyDescent="0.25">
      <c r="A77" t="s">
        <v>10</v>
      </c>
      <c r="B77">
        <v>75</v>
      </c>
      <c r="C77">
        <v>1697.71</v>
      </c>
      <c r="D77">
        <v>241.11</v>
      </c>
      <c r="E77">
        <v>153.69</v>
      </c>
      <c r="F77">
        <v>10.2773</v>
      </c>
      <c r="G77">
        <v>4.0000000000000001E-3</v>
      </c>
      <c r="H77">
        <f t="shared" si="3"/>
        <v>0.14202072203144236</v>
      </c>
      <c r="I77">
        <f t="shared" si="4"/>
        <v>9.0527828663317059E-2</v>
      </c>
      <c r="J77">
        <f t="shared" si="5"/>
        <v>87.420000000000016</v>
      </c>
    </row>
    <row r="78" spans="1:10" x14ac:dyDescent="0.25">
      <c r="A78" t="s">
        <v>10</v>
      </c>
      <c r="B78">
        <v>80</v>
      </c>
      <c r="C78">
        <v>1697.71</v>
      </c>
      <c r="D78">
        <v>288.60000000000002</v>
      </c>
      <c r="E78">
        <v>180.18</v>
      </c>
      <c r="F78">
        <v>10.418799999999999</v>
      </c>
      <c r="G78">
        <v>5.3E-3</v>
      </c>
      <c r="H78">
        <f t="shared" si="3"/>
        <v>0.16999369739236972</v>
      </c>
      <c r="I78">
        <f t="shared" si="4"/>
        <v>0.10613120026388488</v>
      </c>
      <c r="J78">
        <f t="shared" si="5"/>
        <v>108.42000000000002</v>
      </c>
    </row>
    <row r="79" spans="1:10" x14ac:dyDescent="0.25">
      <c r="A79" t="s">
        <v>10</v>
      </c>
      <c r="B79">
        <v>85</v>
      </c>
      <c r="C79">
        <v>1697.71</v>
      </c>
      <c r="D79">
        <v>357.13</v>
      </c>
      <c r="E79">
        <v>216.72</v>
      </c>
      <c r="F79">
        <v>11.2172</v>
      </c>
      <c r="G79">
        <v>4.0000000000000001E-3</v>
      </c>
      <c r="H79">
        <f t="shared" si="3"/>
        <v>0.21035983766367636</v>
      </c>
      <c r="I79">
        <f t="shared" si="4"/>
        <v>0.12765431080691048</v>
      </c>
      <c r="J79">
        <f t="shared" si="5"/>
        <v>140.41</v>
      </c>
    </row>
    <row r="80" spans="1:10" x14ac:dyDescent="0.25">
      <c r="A80" t="s">
        <v>10</v>
      </c>
      <c r="B80">
        <v>90</v>
      </c>
      <c r="C80">
        <v>1697.71</v>
      </c>
      <c r="D80">
        <v>477.03</v>
      </c>
      <c r="E80">
        <v>278.12</v>
      </c>
      <c r="F80">
        <v>11.6632</v>
      </c>
      <c r="G80">
        <v>4.0000000000000001E-3</v>
      </c>
      <c r="H80">
        <f t="shared" si="3"/>
        <v>0.2809843848478244</v>
      </c>
      <c r="I80">
        <f t="shared" si="4"/>
        <v>0.16382067608719983</v>
      </c>
      <c r="J80">
        <f t="shared" si="5"/>
        <v>198.90999999999997</v>
      </c>
    </row>
    <row r="81" spans="1:10" x14ac:dyDescent="0.25">
      <c r="A81" t="s">
        <v>10</v>
      </c>
      <c r="B81">
        <v>95</v>
      </c>
      <c r="C81">
        <v>1697.71</v>
      </c>
      <c r="D81">
        <v>721.28</v>
      </c>
      <c r="E81">
        <v>400.27</v>
      </c>
      <c r="F81">
        <v>12.664300000000001</v>
      </c>
      <c r="G81">
        <v>5.0000000000000001E-3</v>
      </c>
      <c r="H81">
        <f t="shared" si="3"/>
        <v>0.42485465715581577</v>
      </c>
      <c r="I81">
        <f t="shared" si="4"/>
        <v>0.23577053795995781</v>
      </c>
      <c r="J81">
        <f t="shared" si="5"/>
        <v>321.01</v>
      </c>
    </row>
    <row r="82" spans="1:10" x14ac:dyDescent="0.25">
      <c r="A82" t="s">
        <v>11</v>
      </c>
      <c r="B82">
        <v>0</v>
      </c>
      <c r="C82">
        <v>1911.63</v>
      </c>
      <c r="D82">
        <v>56.49</v>
      </c>
      <c r="E82">
        <v>29.48</v>
      </c>
      <c r="F82">
        <v>18.303899999999999</v>
      </c>
      <c r="G82">
        <v>3.0000000000000001E-3</v>
      </c>
      <c r="H82">
        <f t="shared" si="3"/>
        <v>2.9550697572228935E-2</v>
      </c>
      <c r="I82">
        <f t="shared" si="4"/>
        <v>1.5421394307475819E-2</v>
      </c>
      <c r="J82">
        <f t="shared" si="5"/>
        <v>27.01</v>
      </c>
    </row>
    <row r="83" spans="1:10" x14ac:dyDescent="0.25">
      <c r="A83" t="s">
        <v>11</v>
      </c>
      <c r="B83">
        <v>5</v>
      </c>
      <c r="C83">
        <v>1911.63</v>
      </c>
      <c r="D83">
        <v>67.41</v>
      </c>
      <c r="E83">
        <v>38.08</v>
      </c>
      <c r="F83">
        <v>18.434200000000001</v>
      </c>
      <c r="G83">
        <v>3.0000000000000001E-3</v>
      </c>
      <c r="H83">
        <f t="shared" si="3"/>
        <v>3.5263100076897723E-2</v>
      </c>
      <c r="I83">
        <f t="shared" si="4"/>
        <v>1.9920172836793728E-2</v>
      </c>
      <c r="J83">
        <f t="shared" si="5"/>
        <v>29.33</v>
      </c>
    </row>
    <row r="84" spans="1:10" x14ac:dyDescent="0.25">
      <c r="A84" t="s">
        <v>11</v>
      </c>
      <c r="B84">
        <v>10</v>
      </c>
      <c r="C84">
        <v>1911.63</v>
      </c>
      <c r="D84">
        <v>89.88</v>
      </c>
      <c r="E84">
        <v>55.05</v>
      </c>
      <c r="F84">
        <v>18.118099999999998</v>
      </c>
      <c r="G84">
        <v>4.0000000000000001E-3</v>
      </c>
      <c r="H84">
        <f t="shared" si="3"/>
        <v>4.7017466769196964E-2</v>
      </c>
      <c r="I84">
        <f t="shared" si="4"/>
        <v>2.8797413725459423E-2</v>
      </c>
      <c r="J84">
        <f t="shared" si="5"/>
        <v>34.83</v>
      </c>
    </row>
    <row r="85" spans="1:10" x14ac:dyDescent="0.25">
      <c r="A85" t="s">
        <v>11</v>
      </c>
      <c r="B85">
        <v>15</v>
      </c>
      <c r="C85">
        <v>1911.63</v>
      </c>
      <c r="D85">
        <v>109.95</v>
      </c>
      <c r="E85">
        <v>69.38</v>
      </c>
      <c r="F85">
        <v>18.415800000000001</v>
      </c>
      <c r="G85">
        <v>4.0000000000000001E-3</v>
      </c>
      <c r="H85">
        <f t="shared" si="3"/>
        <v>5.7516360383547023E-2</v>
      </c>
      <c r="I85">
        <f t="shared" si="4"/>
        <v>3.6293634228381014E-2</v>
      </c>
      <c r="J85">
        <f t="shared" si="5"/>
        <v>40.570000000000007</v>
      </c>
    </row>
    <row r="86" spans="1:10" x14ac:dyDescent="0.25">
      <c r="A86" t="s">
        <v>11</v>
      </c>
      <c r="B86">
        <v>20</v>
      </c>
      <c r="C86">
        <v>1911.63</v>
      </c>
      <c r="D86">
        <v>128.11000000000001</v>
      </c>
      <c r="E86">
        <v>82.16</v>
      </c>
      <c r="F86">
        <v>18.487200000000001</v>
      </c>
      <c r="G86">
        <v>4.0000000000000001E-3</v>
      </c>
      <c r="H86">
        <f t="shared" si="3"/>
        <v>6.7016106673362524E-2</v>
      </c>
      <c r="I86">
        <f t="shared" si="4"/>
        <v>4.2979028368460417E-2</v>
      </c>
      <c r="J86">
        <f t="shared" si="5"/>
        <v>45.950000000000017</v>
      </c>
    </row>
    <row r="87" spans="1:10" x14ac:dyDescent="0.25">
      <c r="A87" t="s">
        <v>11</v>
      </c>
      <c r="B87">
        <v>25</v>
      </c>
      <c r="C87">
        <v>1911.63</v>
      </c>
      <c r="D87">
        <v>144.63999999999999</v>
      </c>
      <c r="E87">
        <v>93.72</v>
      </c>
      <c r="F87">
        <v>21.1069</v>
      </c>
      <c r="G87">
        <v>4.0000000000000001E-3</v>
      </c>
      <c r="H87">
        <f t="shared" si="3"/>
        <v>7.5663177497737516E-2</v>
      </c>
      <c r="I87">
        <f t="shared" si="4"/>
        <v>4.9026223693915662E-2</v>
      </c>
      <c r="J87">
        <f t="shared" si="5"/>
        <v>50.919999999999987</v>
      </c>
    </row>
    <row r="88" spans="1:10" x14ac:dyDescent="0.25">
      <c r="A88" t="s">
        <v>11</v>
      </c>
      <c r="B88">
        <v>30</v>
      </c>
      <c r="C88">
        <v>1911.63</v>
      </c>
      <c r="D88">
        <v>159.84</v>
      </c>
      <c r="E88">
        <v>104.3</v>
      </c>
      <c r="F88">
        <v>22.244599999999998</v>
      </c>
      <c r="G88">
        <v>5.0000000000000001E-3</v>
      </c>
      <c r="H88">
        <f t="shared" si="3"/>
        <v>8.3614506991415705E-2</v>
      </c>
      <c r="I88">
        <f t="shared" si="4"/>
        <v>5.4560767512541651E-2</v>
      </c>
      <c r="J88">
        <f t="shared" si="5"/>
        <v>55.540000000000006</v>
      </c>
    </row>
    <row r="89" spans="1:10" x14ac:dyDescent="0.25">
      <c r="A89" t="s">
        <v>11</v>
      </c>
      <c r="B89">
        <v>35</v>
      </c>
      <c r="C89">
        <v>1911.63</v>
      </c>
      <c r="D89">
        <v>174.68</v>
      </c>
      <c r="E89">
        <v>114.69</v>
      </c>
      <c r="F89">
        <v>22.038399999999999</v>
      </c>
      <c r="G89">
        <v>4.0000000000000001E-3</v>
      </c>
      <c r="H89">
        <f t="shared" si="3"/>
        <v>9.1377515523401495E-2</v>
      </c>
      <c r="I89">
        <f t="shared" si="4"/>
        <v>5.9995919712496661E-2</v>
      </c>
      <c r="J89">
        <f t="shared" si="5"/>
        <v>59.990000000000009</v>
      </c>
    </row>
    <row r="90" spans="1:10" x14ac:dyDescent="0.25">
      <c r="A90" t="s">
        <v>11</v>
      </c>
      <c r="B90">
        <v>40</v>
      </c>
      <c r="C90">
        <v>1911.63</v>
      </c>
      <c r="D90">
        <v>186.7</v>
      </c>
      <c r="E90">
        <v>122.64</v>
      </c>
      <c r="F90">
        <v>22.25</v>
      </c>
      <c r="G90">
        <v>4.0000000000000001E-3</v>
      </c>
      <c r="H90">
        <f t="shared" si="3"/>
        <v>9.766534318879698E-2</v>
      </c>
      <c r="I90">
        <f t="shared" si="4"/>
        <v>6.4154674283203331E-2</v>
      </c>
      <c r="J90">
        <f t="shared" si="5"/>
        <v>64.059999999999988</v>
      </c>
    </row>
    <row r="91" spans="1:10" x14ac:dyDescent="0.25">
      <c r="A91" t="s">
        <v>11</v>
      </c>
      <c r="B91">
        <v>45</v>
      </c>
      <c r="C91">
        <v>1911.63</v>
      </c>
      <c r="D91">
        <v>200.51</v>
      </c>
      <c r="E91">
        <v>131.59</v>
      </c>
      <c r="F91">
        <v>22.295500000000001</v>
      </c>
      <c r="G91">
        <v>5.0000000000000001E-3</v>
      </c>
      <c r="H91">
        <f t="shared" si="3"/>
        <v>0.10488954452482958</v>
      </c>
      <c r="I91">
        <f t="shared" si="4"/>
        <v>6.8836542636388845E-2</v>
      </c>
      <c r="J91">
        <f t="shared" si="5"/>
        <v>68.919999999999987</v>
      </c>
    </row>
    <row r="92" spans="1:10" x14ac:dyDescent="0.25">
      <c r="A92" t="s">
        <v>11</v>
      </c>
      <c r="B92">
        <v>50</v>
      </c>
      <c r="C92">
        <v>1911.63</v>
      </c>
      <c r="D92">
        <v>211.91</v>
      </c>
      <c r="E92">
        <v>139.16999999999999</v>
      </c>
      <c r="F92">
        <v>22.101700000000001</v>
      </c>
      <c r="G92">
        <v>4.0000000000000001E-3</v>
      </c>
      <c r="H92">
        <f t="shared" si="3"/>
        <v>0.11085304164508822</v>
      </c>
      <c r="I92">
        <f t="shared" si="4"/>
        <v>7.2801745107578336E-2</v>
      </c>
      <c r="J92">
        <f t="shared" si="5"/>
        <v>72.740000000000009</v>
      </c>
    </row>
    <row r="93" spans="1:10" x14ac:dyDescent="0.25">
      <c r="A93" t="s">
        <v>11</v>
      </c>
      <c r="B93">
        <v>55</v>
      </c>
      <c r="C93">
        <v>1911.63</v>
      </c>
      <c r="D93">
        <v>223.78</v>
      </c>
      <c r="E93">
        <v>147.19999999999999</v>
      </c>
      <c r="F93">
        <v>23.639800000000001</v>
      </c>
      <c r="G93">
        <v>5.1999999999999998E-3</v>
      </c>
      <c r="H93">
        <f t="shared" si="3"/>
        <v>0.11706240224311189</v>
      </c>
      <c r="I93">
        <f t="shared" si="4"/>
        <v>7.7002348780883315E-2</v>
      </c>
      <c r="J93">
        <f t="shared" si="5"/>
        <v>76.580000000000013</v>
      </c>
    </row>
    <row r="94" spans="1:10" x14ac:dyDescent="0.25">
      <c r="A94" t="s">
        <v>11</v>
      </c>
      <c r="B94">
        <v>60</v>
      </c>
      <c r="C94">
        <v>1911.63</v>
      </c>
      <c r="D94">
        <v>238.84</v>
      </c>
      <c r="E94">
        <v>157.18</v>
      </c>
      <c r="F94">
        <v>22.977799999999998</v>
      </c>
      <c r="G94">
        <v>4.1000000000000003E-3</v>
      </c>
      <c r="H94">
        <f t="shared" si="3"/>
        <v>0.12494049580724303</v>
      </c>
      <c r="I94">
        <f t="shared" si="4"/>
        <v>8.2223024330022015E-2</v>
      </c>
      <c r="J94">
        <f t="shared" si="5"/>
        <v>81.66</v>
      </c>
    </row>
    <row r="95" spans="1:10" x14ac:dyDescent="0.25">
      <c r="A95" t="s">
        <v>11</v>
      </c>
      <c r="B95">
        <v>65</v>
      </c>
      <c r="C95">
        <v>1911.63</v>
      </c>
      <c r="D95">
        <v>257.83</v>
      </c>
      <c r="E95">
        <v>169.39</v>
      </c>
      <c r="F95">
        <v>23.3065</v>
      </c>
      <c r="G95">
        <v>5.0000000000000001E-3</v>
      </c>
      <c r="H95">
        <f t="shared" si="3"/>
        <v>0.13487442653651593</v>
      </c>
      <c r="I95">
        <f t="shared" si="4"/>
        <v>8.8610243614088494E-2</v>
      </c>
      <c r="J95">
        <f t="shared" si="5"/>
        <v>88.44</v>
      </c>
    </row>
    <row r="96" spans="1:10" x14ac:dyDescent="0.25">
      <c r="A96" t="s">
        <v>11</v>
      </c>
      <c r="B96">
        <v>70</v>
      </c>
      <c r="C96">
        <v>1911.63</v>
      </c>
      <c r="D96">
        <v>280.25</v>
      </c>
      <c r="E96">
        <v>184.4</v>
      </c>
      <c r="F96">
        <v>23.4937</v>
      </c>
      <c r="G96">
        <v>4.1999999999999997E-3</v>
      </c>
      <c r="H96">
        <f t="shared" si="3"/>
        <v>0.14660263753969124</v>
      </c>
      <c r="I96">
        <f t="shared" si="4"/>
        <v>9.6462181489095689E-2</v>
      </c>
      <c r="J96">
        <f t="shared" si="5"/>
        <v>95.85</v>
      </c>
    </row>
    <row r="97" spans="1:10" x14ac:dyDescent="0.25">
      <c r="A97" t="s">
        <v>11</v>
      </c>
      <c r="B97">
        <v>75</v>
      </c>
      <c r="C97">
        <v>1911.63</v>
      </c>
      <c r="D97">
        <v>306</v>
      </c>
      <c r="E97">
        <v>201.78</v>
      </c>
      <c r="F97">
        <v>24.128399999999999</v>
      </c>
      <c r="G97">
        <v>5.0000000000000001E-3</v>
      </c>
      <c r="H97">
        <f t="shared" si="3"/>
        <v>0.16007281743852103</v>
      </c>
      <c r="I97">
        <f t="shared" si="4"/>
        <v>0.1055538990285777</v>
      </c>
      <c r="J97">
        <f t="shared" si="5"/>
        <v>104.22</v>
      </c>
    </row>
    <row r="98" spans="1:10" x14ac:dyDescent="0.25">
      <c r="A98" t="s">
        <v>11</v>
      </c>
      <c r="B98">
        <v>80</v>
      </c>
      <c r="C98">
        <v>1911.63</v>
      </c>
      <c r="D98">
        <v>346.67</v>
      </c>
      <c r="E98">
        <v>229.03</v>
      </c>
      <c r="F98">
        <v>23.767900000000001</v>
      </c>
      <c r="G98">
        <v>5.0000000000000001E-3</v>
      </c>
      <c r="H98">
        <f t="shared" si="3"/>
        <v>0.18134785497193495</v>
      </c>
      <c r="I98">
        <f t="shared" si="4"/>
        <v>0.11980874960112574</v>
      </c>
      <c r="J98">
        <f t="shared" si="5"/>
        <v>117.64000000000001</v>
      </c>
    </row>
    <row r="99" spans="1:10" x14ac:dyDescent="0.25">
      <c r="A99" t="s">
        <v>11</v>
      </c>
      <c r="B99">
        <v>85</v>
      </c>
      <c r="C99">
        <v>1911.63</v>
      </c>
      <c r="D99">
        <v>402.15</v>
      </c>
      <c r="E99">
        <v>266.33</v>
      </c>
      <c r="F99">
        <v>24.241099999999999</v>
      </c>
      <c r="G99">
        <v>5.0000000000000001E-3</v>
      </c>
      <c r="H99">
        <f t="shared" si="3"/>
        <v>0.21037020762386024</v>
      </c>
      <c r="I99">
        <f t="shared" si="4"/>
        <v>0.13932089368758596</v>
      </c>
      <c r="J99">
        <f t="shared" si="5"/>
        <v>135.82</v>
      </c>
    </row>
    <row r="100" spans="1:10" x14ac:dyDescent="0.25">
      <c r="A100" t="s">
        <v>11</v>
      </c>
      <c r="B100">
        <v>90</v>
      </c>
      <c r="C100">
        <v>1911.63</v>
      </c>
      <c r="D100">
        <v>501.62</v>
      </c>
      <c r="E100">
        <v>330.88</v>
      </c>
      <c r="F100">
        <v>24.463799999999999</v>
      </c>
      <c r="G100">
        <v>6.0000000000000001E-3</v>
      </c>
      <c r="H100">
        <f t="shared" si="3"/>
        <v>0.26240433556702919</v>
      </c>
      <c r="I100">
        <f t="shared" si="4"/>
        <v>0.17308788834659425</v>
      </c>
      <c r="J100">
        <f t="shared" si="5"/>
        <v>170.74</v>
      </c>
    </row>
    <row r="101" spans="1:10" x14ac:dyDescent="0.25">
      <c r="A101" t="s">
        <v>11</v>
      </c>
      <c r="B101">
        <v>95</v>
      </c>
      <c r="C101">
        <v>1911.63</v>
      </c>
      <c r="D101">
        <v>714.34</v>
      </c>
      <c r="E101">
        <v>468.31</v>
      </c>
      <c r="F101">
        <v>24.611000000000001</v>
      </c>
      <c r="G101">
        <v>7.4999999999999997E-3</v>
      </c>
      <c r="H101">
        <f t="shared" si="3"/>
        <v>0.37368109937592525</v>
      </c>
      <c r="I101">
        <f t="shared" si="4"/>
        <v>0.24497941547265945</v>
      </c>
      <c r="J101">
        <f t="shared" si="5"/>
        <v>246.03000000000003</v>
      </c>
    </row>
    <row r="102" spans="1:10" x14ac:dyDescent="0.25">
      <c r="A102" t="s">
        <v>12</v>
      </c>
      <c r="B102">
        <v>0</v>
      </c>
      <c r="C102">
        <v>355.14</v>
      </c>
      <c r="D102">
        <v>78.099999999999994</v>
      </c>
      <c r="E102">
        <v>38.299999999999997</v>
      </c>
      <c r="F102">
        <v>22.854500000000002</v>
      </c>
      <c r="G102">
        <v>5.0000000000000001E-3</v>
      </c>
      <c r="H102">
        <f t="shared" si="3"/>
        <v>0.21991327363856505</v>
      </c>
      <c r="I102">
        <f t="shared" si="4"/>
        <v>0.10784479360252294</v>
      </c>
      <c r="J102">
        <f t="shared" si="5"/>
        <v>39.799999999999997</v>
      </c>
    </row>
    <row r="103" spans="1:10" x14ac:dyDescent="0.25">
      <c r="A103" t="s">
        <v>12</v>
      </c>
      <c r="B103">
        <v>5</v>
      </c>
      <c r="C103">
        <v>355.14</v>
      </c>
      <c r="D103">
        <v>88.73</v>
      </c>
      <c r="E103">
        <v>45.85</v>
      </c>
      <c r="F103">
        <v>23.228400000000001</v>
      </c>
      <c r="G103">
        <v>5.0000000000000001E-3</v>
      </c>
      <c r="H103">
        <f t="shared" si="3"/>
        <v>0.24984513149743764</v>
      </c>
      <c r="I103">
        <f t="shared" si="4"/>
        <v>0.1291040153179028</v>
      </c>
      <c r="J103">
        <f t="shared" si="5"/>
        <v>42.88</v>
      </c>
    </row>
    <row r="104" spans="1:10" x14ac:dyDescent="0.25">
      <c r="A104" t="s">
        <v>12</v>
      </c>
      <c r="B104">
        <v>10</v>
      </c>
      <c r="C104">
        <v>355.14</v>
      </c>
      <c r="D104">
        <v>110.72</v>
      </c>
      <c r="E104">
        <v>62.59</v>
      </c>
      <c r="F104">
        <v>22.927499999999998</v>
      </c>
      <c r="G104">
        <v>4.0000000000000001E-3</v>
      </c>
      <c r="H104">
        <f t="shared" si="3"/>
        <v>0.31176437461282874</v>
      </c>
      <c r="I104">
        <f t="shared" si="4"/>
        <v>0.17624035591597681</v>
      </c>
      <c r="J104">
        <f t="shared" si="5"/>
        <v>48.129999999999995</v>
      </c>
    </row>
    <row r="105" spans="1:10" x14ac:dyDescent="0.25">
      <c r="A105" t="s">
        <v>12</v>
      </c>
      <c r="B105">
        <v>15</v>
      </c>
      <c r="C105">
        <v>355.14</v>
      </c>
      <c r="D105">
        <v>131.22999999999999</v>
      </c>
      <c r="E105">
        <v>77.56</v>
      </c>
      <c r="F105">
        <v>22.987500000000001</v>
      </c>
      <c r="G105">
        <v>5.0000000000000001E-3</v>
      </c>
      <c r="H105">
        <f t="shared" si="3"/>
        <v>0.36951624711381426</v>
      </c>
      <c r="I105">
        <f t="shared" si="4"/>
        <v>0.21839274652249818</v>
      </c>
      <c r="J105">
        <f t="shared" si="5"/>
        <v>53.669999999999987</v>
      </c>
    </row>
    <row r="106" spans="1:10" x14ac:dyDescent="0.25">
      <c r="A106" t="s">
        <v>12</v>
      </c>
      <c r="B106">
        <v>20</v>
      </c>
      <c r="C106">
        <v>355.14</v>
      </c>
      <c r="D106">
        <v>151.69999999999999</v>
      </c>
      <c r="E106">
        <v>91.11</v>
      </c>
      <c r="F106">
        <v>23.023299999999999</v>
      </c>
      <c r="G106">
        <v>5.0000000000000001E-3</v>
      </c>
      <c r="H106">
        <f t="shared" si="3"/>
        <v>0.4271554879765726</v>
      </c>
      <c r="I106">
        <f t="shared" si="4"/>
        <v>0.25654671397195472</v>
      </c>
      <c r="J106">
        <f t="shared" si="5"/>
        <v>60.589999999999989</v>
      </c>
    </row>
    <row r="107" spans="1:10" x14ac:dyDescent="0.25">
      <c r="A107" t="s">
        <v>12</v>
      </c>
      <c r="B107">
        <v>25</v>
      </c>
      <c r="C107">
        <v>355.14</v>
      </c>
      <c r="D107">
        <v>173.04</v>
      </c>
      <c r="E107">
        <v>104.54</v>
      </c>
      <c r="F107">
        <v>23.0581</v>
      </c>
      <c r="G107">
        <v>5.0000000000000001E-3</v>
      </c>
      <c r="H107">
        <f t="shared" si="3"/>
        <v>0.48724446697077206</v>
      </c>
      <c r="I107">
        <f t="shared" si="4"/>
        <v>0.29436278650672976</v>
      </c>
      <c r="J107">
        <f t="shared" si="5"/>
        <v>68.499999999999986</v>
      </c>
    </row>
    <row r="108" spans="1:10" x14ac:dyDescent="0.25">
      <c r="A108" t="s">
        <v>12</v>
      </c>
      <c r="B108">
        <v>30</v>
      </c>
      <c r="C108">
        <v>355.14</v>
      </c>
      <c r="D108">
        <v>187.9</v>
      </c>
      <c r="E108">
        <v>116.27</v>
      </c>
      <c r="F108">
        <v>23.392299999999999</v>
      </c>
      <c r="G108">
        <v>5.0000000000000001E-3</v>
      </c>
      <c r="H108">
        <f t="shared" si="3"/>
        <v>0.52908712057216878</v>
      </c>
      <c r="I108">
        <f t="shared" si="4"/>
        <v>0.32739201441684967</v>
      </c>
      <c r="J108">
        <f t="shared" si="5"/>
        <v>71.63000000000001</v>
      </c>
    </row>
    <row r="109" spans="1:10" x14ac:dyDescent="0.25">
      <c r="A109" t="s">
        <v>12</v>
      </c>
      <c r="B109">
        <v>35</v>
      </c>
      <c r="C109">
        <v>355.14</v>
      </c>
      <c r="D109">
        <v>204.63</v>
      </c>
      <c r="E109">
        <v>130.87</v>
      </c>
      <c r="F109">
        <v>22.932099999999998</v>
      </c>
      <c r="G109">
        <v>5.0000000000000001E-3</v>
      </c>
      <c r="H109">
        <f t="shared" si="3"/>
        <v>0.57619530326068591</v>
      </c>
      <c r="I109">
        <f t="shared" si="4"/>
        <v>0.36850256236976969</v>
      </c>
      <c r="J109">
        <f t="shared" si="5"/>
        <v>73.759999999999991</v>
      </c>
    </row>
    <row r="110" spans="1:10" x14ac:dyDescent="0.25">
      <c r="A110" t="s">
        <v>12</v>
      </c>
      <c r="B110">
        <v>40</v>
      </c>
      <c r="C110">
        <v>355.14</v>
      </c>
      <c r="D110">
        <v>216.66</v>
      </c>
      <c r="E110">
        <v>139.31</v>
      </c>
      <c r="F110">
        <v>23.1325</v>
      </c>
      <c r="G110">
        <v>5.0000000000000001E-3</v>
      </c>
      <c r="H110">
        <f t="shared" si="3"/>
        <v>0.61006926845750975</v>
      </c>
      <c r="I110">
        <f t="shared" si="4"/>
        <v>0.39226783803570425</v>
      </c>
      <c r="J110">
        <f t="shared" si="5"/>
        <v>77.349999999999994</v>
      </c>
    </row>
    <row r="111" spans="1:10" x14ac:dyDescent="0.25">
      <c r="A111" t="s">
        <v>12</v>
      </c>
      <c r="B111">
        <v>45</v>
      </c>
      <c r="C111">
        <v>355.14</v>
      </c>
      <c r="D111">
        <v>231.99</v>
      </c>
      <c r="E111">
        <v>147.97</v>
      </c>
      <c r="F111">
        <v>23.067</v>
      </c>
      <c r="G111">
        <v>5.0000000000000001E-3</v>
      </c>
      <c r="H111">
        <f t="shared" si="3"/>
        <v>0.65323534380807569</v>
      </c>
      <c r="I111">
        <f t="shared" si="4"/>
        <v>0.41665258771188829</v>
      </c>
      <c r="J111">
        <f t="shared" si="5"/>
        <v>84.02000000000001</v>
      </c>
    </row>
    <row r="112" spans="1:10" x14ac:dyDescent="0.25">
      <c r="A112" t="s">
        <v>12</v>
      </c>
      <c r="B112">
        <v>50</v>
      </c>
      <c r="C112">
        <v>355.14</v>
      </c>
      <c r="D112">
        <v>243.02</v>
      </c>
      <c r="E112">
        <v>157.1</v>
      </c>
      <c r="F112">
        <v>23.1462</v>
      </c>
      <c r="G112">
        <v>6.0000000000000001E-3</v>
      </c>
      <c r="H112">
        <f t="shared" si="3"/>
        <v>0.68429351804922012</v>
      </c>
      <c r="I112">
        <f t="shared" si="4"/>
        <v>0.44236075913724165</v>
      </c>
      <c r="J112">
        <f t="shared" si="5"/>
        <v>85.920000000000016</v>
      </c>
    </row>
    <row r="113" spans="1:10" x14ac:dyDescent="0.25">
      <c r="A113" t="s">
        <v>12</v>
      </c>
      <c r="B113">
        <v>55</v>
      </c>
      <c r="C113">
        <v>355.14</v>
      </c>
      <c r="D113">
        <v>256.2</v>
      </c>
      <c r="E113">
        <v>168.43</v>
      </c>
      <c r="F113">
        <v>24.938700000000001</v>
      </c>
      <c r="G113">
        <v>5.4999999999999997E-3</v>
      </c>
      <c r="H113">
        <f t="shared" si="3"/>
        <v>0.72140564284507513</v>
      </c>
      <c r="I113">
        <f t="shared" si="4"/>
        <v>0.47426367066508984</v>
      </c>
      <c r="J113">
        <f t="shared" si="5"/>
        <v>87.769999999999982</v>
      </c>
    </row>
    <row r="114" spans="1:10" x14ac:dyDescent="0.25">
      <c r="A114" t="s">
        <v>12</v>
      </c>
      <c r="B114">
        <v>60</v>
      </c>
      <c r="C114">
        <v>355.14</v>
      </c>
      <c r="D114">
        <v>275.08999999999997</v>
      </c>
      <c r="E114">
        <v>184.36</v>
      </c>
      <c r="F114">
        <v>23.857099999999999</v>
      </c>
      <c r="G114">
        <v>5.4999999999999997E-3</v>
      </c>
      <c r="H114">
        <f t="shared" si="3"/>
        <v>0.77459593399785998</v>
      </c>
      <c r="I114">
        <f t="shared" si="4"/>
        <v>0.51911922058906357</v>
      </c>
      <c r="J114">
        <f t="shared" si="5"/>
        <v>90.729999999999961</v>
      </c>
    </row>
    <row r="115" spans="1:10" x14ac:dyDescent="0.25">
      <c r="A115" t="s">
        <v>12</v>
      </c>
      <c r="B115">
        <v>65</v>
      </c>
      <c r="C115">
        <v>355.14</v>
      </c>
      <c r="D115">
        <v>300.38</v>
      </c>
      <c r="E115">
        <v>206.41</v>
      </c>
      <c r="F115">
        <v>23.194299999999998</v>
      </c>
      <c r="G115">
        <v>6.3E-3</v>
      </c>
      <c r="H115">
        <f t="shared" si="3"/>
        <v>0.84580728726699328</v>
      </c>
      <c r="I115">
        <f t="shared" si="4"/>
        <v>0.58120741116179531</v>
      </c>
      <c r="J115">
        <f t="shared" si="5"/>
        <v>93.97</v>
      </c>
    </row>
    <row r="116" spans="1:10" x14ac:dyDescent="0.25">
      <c r="A116" t="s">
        <v>12</v>
      </c>
      <c r="B116">
        <v>70</v>
      </c>
      <c r="C116">
        <v>355.14</v>
      </c>
      <c r="D116">
        <v>318.26</v>
      </c>
      <c r="E116">
        <v>223.28</v>
      </c>
      <c r="F116">
        <v>24.2986</v>
      </c>
      <c r="G116">
        <v>6.0000000000000001E-3</v>
      </c>
      <c r="H116">
        <f t="shared" si="3"/>
        <v>0.89615362955454192</v>
      </c>
      <c r="I116">
        <f t="shared" si="4"/>
        <v>0.62870980458410775</v>
      </c>
      <c r="J116">
        <f t="shared" si="5"/>
        <v>94.97999999999999</v>
      </c>
    </row>
    <row r="117" spans="1:10" x14ac:dyDescent="0.25">
      <c r="A117" t="s">
        <v>12</v>
      </c>
      <c r="B117">
        <v>75</v>
      </c>
      <c r="C117">
        <v>355.14</v>
      </c>
      <c r="D117">
        <v>342.5</v>
      </c>
      <c r="E117">
        <v>246.82</v>
      </c>
      <c r="F117">
        <v>24.7912</v>
      </c>
      <c r="G117">
        <v>6.0000000000000001E-3</v>
      </c>
      <c r="H117">
        <f t="shared" si="3"/>
        <v>0.96440840232021174</v>
      </c>
      <c r="I117">
        <f t="shared" si="4"/>
        <v>0.69499352368080192</v>
      </c>
      <c r="J117">
        <f t="shared" si="5"/>
        <v>95.68</v>
      </c>
    </row>
    <row r="118" spans="1:10" x14ac:dyDescent="0.25">
      <c r="A118" t="s">
        <v>12</v>
      </c>
      <c r="B118">
        <v>80</v>
      </c>
      <c r="C118">
        <v>355.14</v>
      </c>
      <c r="D118">
        <v>381.95</v>
      </c>
      <c r="E118">
        <v>282.42</v>
      </c>
      <c r="F118">
        <v>24.6646</v>
      </c>
      <c r="G118">
        <v>7.0000000000000001E-3</v>
      </c>
      <c r="H118">
        <f t="shared" si="3"/>
        <v>1.075491355521766</v>
      </c>
      <c r="I118">
        <f t="shared" si="4"/>
        <v>0.79523568170299042</v>
      </c>
      <c r="J118">
        <f t="shared" si="5"/>
        <v>99.529999999999973</v>
      </c>
    </row>
    <row r="119" spans="1:10" x14ac:dyDescent="0.25">
      <c r="A119" t="s">
        <v>12</v>
      </c>
      <c r="B119">
        <v>85</v>
      </c>
      <c r="C119">
        <v>355.14</v>
      </c>
      <c r="D119">
        <v>419.71</v>
      </c>
      <c r="E119">
        <v>315.79000000000002</v>
      </c>
      <c r="F119">
        <v>23.6416</v>
      </c>
      <c r="G119">
        <v>7.0000000000000001E-3</v>
      </c>
      <c r="H119">
        <f t="shared" si="3"/>
        <v>1.1818156220082221</v>
      </c>
      <c r="I119">
        <f t="shared" si="4"/>
        <v>0.88919862589401377</v>
      </c>
      <c r="J119">
        <f t="shared" si="5"/>
        <v>103.91999999999996</v>
      </c>
    </row>
    <row r="120" spans="1:10" x14ac:dyDescent="0.25">
      <c r="A120" t="s">
        <v>12</v>
      </c>
      <c r="B120">
        <v>90</v>
      </c>
      <c r="C120">
        <v>355.14</v>
      </c>
      <c r="D120">
        <v>485.13</v>
      </c>
      <c r="E120">
        <v>373.58</v>
      </c>
      <c r="F120">
        <v>24.997</v>
      </c>
      <c r="G120">
        <v>7.0000000000000001E-3</v>
      </c>
      <c r="H120">
        <f t="shared" si="3"/>
        <v>1.3660246663287718</v>
      </c>
      <c r="I120">
        <f t="shared" si="4"/>
        <v>1.0519231852227291</v>
      </c>
      <c r="J120">
        <f t="shared" si="5"/>
        <v>111.55000000000001</v>
      </c>
    </row>
    <row r="121" spans="1:10" x14ac:dyDescent="0.25">
      <c r="A121" t="s">
        <v>12</v>
      </c>
      <c r="B121">
        <v>95</v>
      </c>
      <c r="C121">
        <v>355.14</v>
      </c>
      <c r="D121">
        <v>639.75</v>
      </c>
      <c r="E121">
        <v>501.45</v>
      </c>
      <c r="F121">
        <v>25.723299999999998</v>
      </c>
      <c r="G121">
        <v>8.0000000000000002E-3</v>
      </c>
      <c r="H121">
        <f t="shared" si="3"/>
        <v>1.8014022638959284</v>
      </c>
      <c r="I121">
        <f t="shared" si="4"/>
        <v>1.4119783747254604</v>
      </c>
      <c r="J121">
        <f t="shared" si="5"/>
        <v>138.30000000000001</v>
      </c>
    </row>
    <row r="122" spans="1:10" x14ac:dyDescent="0.25">
      <c r="A122" t="s">
        <v>13</v>
      </c>
      <c r="B122">
        <v>0</v>
      </c>
      <c r="C122">
        <v>578.6</v>
      </c>
      <c r="D122">
        <v>54.83</v>
      </c>
      <c r="E122">
        <v>26.94</v>
      </c>
      <c r="F122">
        <v>22.936499999999999</v>
      </c>
      <c r="G122">
        <v>3.0000000000000001E-3</v>
      </c>
      <c r="H122">
        <f t="shared" si="3"/>
        <v>9.4763221569305209E-2</v>
      </c>
      <c r="I122">
        <f t="shared" si="4"/>
        <v>4.6560663670929828E-2</v>
      </c>
      <c r="J122">
        <f t="shared" si="5"/>
        <v>27.889999999999997</v>
      </c>
    </row>
    <row r="123" spans="1:10" x14ac:dyDescent="0.25">
      <c r="A123" t="s">
        <v>13</v>
      </c>
      <c r="B123">
        <v>5</v>
      </c>
      <c r="C123">
        <v>578.6</v>
      </c>
      <c r="D123">
        <v>61.13</v>
      </c>
      <c r="E123">
        <v>31.61</v>
      </c>
      <c r="F123">
        <v>22.6068</v>
      </c>
      <c r="G123">
        <v>5.0000000000000001E-3</v>
      </c>
      <c r="H123">
        <f t="shared" si="3"/>
        <v>0.10565157276183892</v>
      </c>
      <c r="I123">
        <f t="shared" si="4"/>
        <v>5.4631870031109572E-2</v>
      </c>
      <c r="J123">
        <f t="shared" si="5"/>
        <v>29.520000000000003</v>
      </c>
    </row>
    <row r="124" spans="1:10" x14ac:dyDescent="0.25">
      <c r="A124" t="s">
        <v>13</v>
      </c>
      <c r="B124">
        <v>10</v>
      </c>
      <c r="C124">
        <v>578.6</v>
      </c>
      <c r="D124">
        <v>73.52</v>
      </c>
      <c r="E124">
        <v>41.29</v>
      </c>
      <c r="F124">
        <v>22.84</v>
      </c>
      <c r="G124">
        <v>4.0000000000000001E-3</v>
      </c>
      <c r="H124">
        <f t="shared" si="3"/>
        <v>0.12706533010715518</v>
      </c>
      <c r="I124">
        <f t="shared" si="4"/>
        <v>7.1361908053923256E-2</v>
      </c>
      <c r="J124">
        <f t="shared" si="5"/>
        <v>32.229999999999997</v>
      </c>
    </row>
    <row r="125" spans="1:10" x14ac:dyDescent="0.25">
      <c r="A125" t="s">
        <v>13</v>
      </c>
      <c r="B125">
        <v>15</v>
      </c>
      <c r="C125">
        <v>578.6</v>
      </c>
      <c r="D125">
        <v>84.73</v>
      </c>
      <c r="E125">
        <v>49.95</v>
      </c>
      <c r="F125">
        <v>22.5154</v>
      </c>
      <c r="G125">
        <v>4.0000000000000001E-3</v>
      </c>
      <c r="H125">
        <f t="shared" si="3"/>
        <v>0.14643968199101279</v>
      </c>
      <c r="I125">
        <f t="shared" si="4"/>
        <v>8.6329070169374356E-2</v>
      </c>
      <c r="J125">
        <f t="shared" si="5"/>
        <v>34.78</v>
      </c>
    </row>
    <row r="126" spans="1:10" x14ac:dyDescent="0.25">
      <c r="A126" t="s">
        <v>13</v>
      </c>
      <c r="B126">
        <v>20</v>
      </c>
      <c r="C126">
        <v>578.6</v>
      </c>
      <c r="D126">
        <v>94.64</v>
      </c>
      <c r="E126">
        <v>57.37</v>
      </c>
      <c r="F126">
        <v>22.4665</v>
      </c>
      <c r="G126">
        <v>4.4000000000000003E-3</v>
      </c>
      <c r="H126">
        <f t="shared" si="3"/>
        <v>0.16356723124783962</v>
      </c>
      <c r="I126">
        <f t="shared" si="4"/>
        <v>9.9153128240580701E-2</v>
      </c>
      <c r="J126">
        <f t="shared" si="5"/>
        <v>37.270000000000003</v>
      </c>
    </row>
    <row r="127" spans="1:10" x14ac:dyDescent="0.25">
      <c r="A127" t="s">
        <v>13</v>
      </c>
      <c r="B127">
        <v>25</v>
      </c>
      <c r="C127">
        <v>578.6</v>
      </c>
      <c r="D127">
        <v>104.55</v>
      </c>
      <c r="E127">
        <v>64.52</v>
      </c>
      <c r="F127">
        <v>22.628499999999999</v>
      </c>
      <c r="G127">
        <v>4.0000000000000001E-3</v>
      </c>
      <c r="H127">
        <f t="shared" si="3"/>
        <v>0.18069478050466642</v>
      </c>
      <c r="I127">
        <f t="shared" si="4"/>
        <v>0.1115105426892499</v>
      </c>
      <c r="J127">
        <f t="shared" si="5"/>
        <v>40.03</v>
      </c>
    </row>
    <row r="128" spans="1:10" x14ac:dyDescent="0.25">
      <c r="A128" t="s">
        <v>13</v>
      </c>
      <c r="B128">
        <v>30</v>
      </c>
      <c r="C128">
        <v>578.6</v>
      </c>
      <c r="D128">
        <v>113.74</v>
      </c>
      <c r="E128">
        <v>71.27</v>
      </c>
      <c r="F128">
        <v>23.150099999999998</v>
      </c>
      <c r="G128">
        <v>4.0000000000000001E-3</v>
      </c>
      <c r="H128">
        <f t="shared" si="3"/>
        <v>0.19657794676806081</v>
      </c>
      <c r="I128">
        <f t="shared" si="4"/>
        <v>0.12317663325267887</v>
      </c>
      <c r="J128">
        <f t="shared" si="5"/>
        <v>42.47</v>
      </c>
    </row>
    <row r="129" spans="1:10" x14ac:dyDescent="0.25">
      <c r="A129" t="s">
        <v>13</v>
      </c>
      <c r="B129">
        <v>35</v>
      </c>
      <c r="C129">
        <v>578.6</v>
      </c>
      <c r="D129">
        <v>122.57</v>
      </c>
      <c r="E129">
        <v>77.77</v>
      </c>
      <c r="F129">
        <v>21.8583</v>
      </c>
      <c r="G129">
        <v>4.0000000000000001E-3</v>
      </c>
      <c r="H129">
        <f t="shared" si="3"/>
        <v>0.21183892153473902</v>
      </c>
      <c r="I129">
        <f t="shared" si="4"/>
        <v>0.13441064638783268</v>
      </c>
      <c r="J129">
        <f t="shared" si="5"/>
        <v>44.8</v>
      </c>
    </row>
    <row r="130" spans="1:10" x14ac:dyDescent="0.25">
      <c r="A130" t="s">
        <v>13</v>
      </c>
      <c r="B130">
        <v>40</v>
      </c>
      <c r="C130">
        <v>578.6</v>
      </c>
      <c r="D130">
        <v>130.38</v>
      </c>
      <c r="E130">
        <v>83.19</v>
      </c>
      <c r="F130">
        <v>21.7925</v>
      </c>
      <c r="G130">
        <v>4.0000000000000001E-3</v>
      </c>
      <c r="H130">
        <f t="shared" si="3"/>
        <v>0.22533702039405459</v>
      </c>
      <c r="I130">
        <f t="shared" si="4"/>
        <v>0.14377808503283787</v>
      </c>
      <c r="J130">
        <f t="shared" si="5"/>
        <v>47.19</v>
      </c>
    </row>
    <row r="131" spans="1:10" x14ac:dyDescent="0.25">
      <c r="A131" t="s">
        <v>13</v>
      </c>
      <c r="B131">
        <v>45</v>
      </c>
      <c r="C131">
        <v>578.6</v>
      </c>
      <c r="D131">
        <v>139.66</v>
      </c>
      <c r="E131">
        <v>89.73</v>
      </c>
      <c r="F131">
        <v>21.659099999999999</v>
      </c>
      <c r="G131">
        <v>4.0000000000000001E-3</v>
      </c>
      <c r="H131">
        <f t="shared" ref="H131:H194" si="6">D131/C131</f>
        <v>0.24137573453162806</v>
      </c>
      <c r="I131">
        <f t="shared" ref="I131:I194" si="7">E131/C131</f>
        <v>0.15508123055651574</v>
      </c>
      <c r="J131">
        <f t="shared" ref="J131:J194" si="8">D131-E131</f>
        <v>49.929999999999993</v>
      </c>
    </row>
    <row r="132" spans="1:10" x14ac:dyDescent="0.25">
      <c r="A132" t="s">
        <v>13</v>
      </c>
      <c r="B132">
        <v>50</v>
      </c>
      <c r="C132">
        <v>578.6</v>
      </c>
      <c r="D132">
        <v>147.34</v>
      </c>
      <c r="E132">
        <v>95.19</v>
      </c>
      <c r="F132">
        <v>22.2987</v>
      </c>
      <c r="G132">
        <v>4.4000000000000003E-3</v>
      </c>
      <c r="H132">
        <f t="shared" si="6"/>
        <v>0.2546491531282406</v>
      </c>
      <c r="I132">
        <f t="shared" si="7"/>
        <v>0.16451780159004492</v>
      </c>
      <c r="J132">
        <f t="shared" si="8"/>
        <v>52.150000000000006</v>
      </c>
    </row>
    <row r="133" spans="1:10" x14ac:dyDescent="0.25">
      <c r="A133" t="s">
        <v>13</v>
      </c>
      <c r="B133">
        <v>55</v>
      </c>
      <c r="C133">
        <v>578.6</v>
      </c>
      <c r="D133">
        <v>155.44999999999999</v>
      </c>
      <c r="E133">
        <v>100.84</v>
      </c>
      <c r="F133">
        <v>22.059200000000001</v>
      </c>
      <c r="G133">
        <v>4.0000000000000001E-3</v>
      </c>
      <c r="H133">
        <f t="shared" si="6"/>
        <v>0.26866574490148631</v>
      </c>
      <c r="I133">
        <f t="shared" si="7"/>
        <v>0.17428275146906325</v>
      </c>
      <c r="J133">
        <f t="shared" si="8"/>
        <v>54.609999999999985</v>
      </c>
    </row>
    <row r="134" spans="1:10" x14ac:dyDescent="0.25">
      <c r="A134" t="s">
        <v>13</v>
      </c>
      <c r="B134">
        <v>60</v>
      </c>
      <c r="C134">
        <v>578.6</v>
      </c>
      <c r="D134">
        <v>165.84</v>
      </c>
      <c r="E134">
        <v>108.14</v>
      </c>
      <c r="F134">
        <v>22.333300000000001</v>
      </c>
      <c r="G134">
        <v>5.0000000000000001E-3</v>
      </c>
      <c r="H134">
        <f t="shared" si="6"/>
        <v>0.28662288282060144</v>
      </c>
      <c r="I134">
        <f t="shared" si="7"/>
        <v>0.18689941237469754</v>
      </c>
      <c r="J134">
        <f t="shared" si="8"/>
        <v>57.7</v>
      </c>
    </row>
    <row r="135" spans="1:10" x14ac:dyDescent="0.25">
      <c r="A135" t="s">
        <v>13</v>
      </c>
      <c r="B135">
        <v>65</v>
      </c>
      <c r="C135">
        <v>578.6</v>
      </c>
      <c r="D135">
        <v>180.97</v>
      </c>
      <c r="E135">
        <v>117.37</v>
      </c>
      <c r="F135">
        <v>22.9114</v>
      </c>
      <c r="G135">
        <v>4.0000000000000001E-3</v>
      </c>
      <c r="H135">
        <f t="shared" si="6"/>
        <v>0.31277220877981332</v>
      </c>
      <c r="I135">
        <f t="shared" si="7"/>
        <v>0.20285171102661598</v>
      </c>
      <c r="J135">
        <f t="shared" si="8"/>
        <v>63.599999999999994</v>
      </c>
    </row>
    <row r="136" spans="1:10" x14ac:dyDescent="0.25">
      <c r="A136" t="s">
        <v>13</v>
      </c>
      <c r="B136">
        <v>70</v>
      </c>
      <c r="C136">
        <v>578.6</v>
      </c>
      <c r="D136">
        <v>198.23</v>
      </c>
      <c r="E136">
        <v>128.47999999999999</v>
      </c>
      <c r="F136">
        <v>23.6127</v>
      </c>
      <c r="G136">
        <v>4.0000000000000001E-3</v>
      </c>
      <c r="H136">
        <f t="shared" si="6"/>
        <v>0.34260283442792944</v>
      </c>
      <c r="I136">
        <f t="shared" si="7"/>
        <v>0.22205323193916346</v>
      </c>
      <c r="J136">
        <f t="shared" si="8"/>
        <v>69.75</v>
      </c>
    </row>
    <row r="137" spans="1:10" x14ac:dyDescent="0.25">
      <c r="A137" t="s">
        <v>13</v>
      </c>
      <c r="B137">
        <v>75</v>
      </c>
      <c r="C137">
        <v>578.6</v>
      </c>
      <c r="D137">
        <v>219.19</v>
      </c>
      <c r="E137">
        <v>141.32</v>
      </c>
      <c r="F137">
        <v>22.992100000000001</v>
      </c>
      <c r="G137">
        <v>5.0000000000000001E-3</v>
      </c>
      <c r="H137">
        <f t="shared" si="6"/>
        <v>0.37882820601451778</v>
      </c>
      <c r="I137">
        <f t="shared" si="7"/>
        <v>0.24424472865537503</v>
      </c>
      <c r="J137">
        <f t="shared" si="8"/>
        <v>77.87</v>
      </c>
    </row>
    <row r="138" spans="1:10" x14ac:dyDescent="0.25">
      <c r="A138" t="s">
        <v>13</v>
      </c>
      <c r="B138">
        <v>80</v>
      </c>
      <c r="C138">
        <v>578.6</v>
      </c>
      <c r="D138">
        <v>254.75</v>
      </c>
      <c r="E138">
        <v>162.26</v>
      </c>
      <c r="F138">
        <v>22.8522</v>
      </c>
      <c r="G138">
        <v>5.3E-3</v>
      </c>
      <c r="H138">
        <f t="shared" si="6"/>
        <v>0.4402868994123747</v>
      </c>
      <c r="I138">
        <f t="shared" si="7"/>
        <v>0.28043553404770133</v>
      </c>
      <c r="J138">
        <f t="shared" si="8"/>
        <v>92.490000000000009</v>
      </c>
    </row>
    <row r="139" spans="1:10" x14ac:dyDescent="0.25">
      <c r="A139" t="s">
        <v>13</v>
      </c>
      <c r="B139">
        <v>85</v>
      </c>
      <c r="C139">
        <v>578.6</v>
      </c>
      <c r="D139">
        <v>308.55</v>
      </c>
      <c r="E139">
        <v>192.6</v>
      </c>
      <c r="F139">
        <v>23.391100000000002</v>
      </c>
      <c r="G139">
        <v>6.0000000000000001E-3</v>
      </c>
      <c r="H139">
        <f t="shared" si="6"/>
        <v>0.53326996197718635</v>
      </c>
      <c r="I139">
        <f t="shared" si="7"/>
        <v>0.33287245074317318</v>
      </c>
      <c r="J139">
        <f t="shared" si="8"/>
        <v>115.95000000000002</v>
      </c>
    </row>
    <row r="140" spans="1:10" x14ac:dyDescent="0.25">
      <c r="A140" t="s">
        <v>13</v>
      </c>
      <c r="B140">
        <v>90</v>
      </c>
      <c r="C140">
        <v>578.6</v>
      </c>
      <c r="D140">
        <v>419.9</v>
      </c>
      <c r="E140">
        <v>249.98</v>
      </c>
      <c r="F140">
        <v>23.257000000000001</v>
      </c>
      <c r="G140">
        <v>5.0000000000000001E-3</v>
      </c>
      <c r="H140">
        <f t="shared" si="6"/>
        <v>0.72571724853093666</v>
      </c>
      <c r="I140">
        <f t="shared" si="7"/>
        <v>0.43204286208088488</v>
      </c>
      <c r="J140">
        <f t="shared" si="8"/>
        <v>169.92</v>
      </c>
    </row>
    <row r="141" spans="1:10" x14ac:dyDescent="0.25">
      <c r="A141" t="s">
        <v>13</v>
      </c>
      <c r="B141">
        <v>95</v>
      </c>
      <c r="C141">
        <v>578.6</v>
      </c>
      <c r="D141">
        <v>694.57</v>
      </c>
      <c r="E141">
        <v>387.51</v>
      </c>
      <c r="F141">
        <v>24.312799999999999</v>
      </c>
      <c r="G141">
        <v>6.0000000000000001E-3</v>
      </c>
      <c r="H141">
        <f t="shared" si="6"/>
        <v>1.2004320774282753</v>
      </c>
      <c r="I141">
        <f t="shared" si="7"/>
        <v>0.66973729692360862</v>
      </c>
      <c r="J141">
        <f t="shared" si="8"/>
        <v>307.06000000000006</v>
      </c>
    </row>
    <row r="142" spans="1:10" x14ac:dyDescent="0.25">
      <c r="A142" t="s">
        <v>14</v>
      </c>
      <c r="B142">
        <v>0</v>
      </c>
      <c r="C142">
        <v>1865.26</v>
      </c>
      <c r="D142">
        <v>66.33</v>
      </c>
      <c r="E142">
        <v>36.19</v>
      </c>
      <c r="F142">
        <v>21.663699999999999</v>
      </c>
      <c r="G142">
        <v>3.0000000000000001E-3</v>
      </c>
      <c r="H142">
        <f t="shared" si="6"/>
        <v>3.556072611861081E-2</v>
      </c>
      <c r="I142">
        <f t="shared" si="7"/>
        <v>1.9402120883951834E-2</v>
      </c>
      <c r="J142">
        <f t="shared" si="8"/>
        <v>30.14</v>
      </c>
    </row>
    <row r="143" spans="1:10" x14ac:dyDescent="0.25">
      <c r="A143" t="s">
        <v>14</v>
      </c>
      <c r="B143">
        <v>5</v>
      </c>
      <c r="C143">
        <v>1865.26</v>
      </c>
      <c r="D143">
        <v>78.61</v>
      </c>
      <c r="E143">
        <v>45.39</v>
      </c>
      <c r="F143">
        <v>21.7073</v>
      </c>
      <c r="G143">
        <v>4.0000000000000001E-3</v>
      </c>
      <c r="H143">
        <f t="shared" si="6"/>
        <v>4.2144258709241607E-2</v>
      </c>
      <c r="I143">
        <f t="shared" si="7"/>
        <v>2.433440914403354E-2</v>
      </c>
      <c r="J143">
        <f t="shared" si="8"/>
        <v>33.22</v>
      </c>
    </row>
    <row r="144" spans="1:10" x14ac:dyDescent="0.25">
      <c r="A144" t="s">
        <v>14</v>
      </c>
      <c r="B144">
        <v>10</v>
      </c>
      <c r="C144">
        <v>1865.26</v>
      </c>
      <c r="D144">
        <v>104.62</v>
      </c>
      <c r="E144">
        <v>64.489999999999995</v>
      </c>
      <c r="F144">
        <v>21.964400000000001</v>
      </c>
      <c r="G144">
        <v>4.0000000000000001E-3</v>
      </c>
      <c r="H144">
        <f t="shared" si="6"/>
        <v>5.608869540975521E-2</v>
      </c>
      <c r="I144">
        <f t="shared" si="7"/>
        <v>3.457426846659447E-2</v>
      </c>
      <c r="J144">
        <f t="shared" si="8"/>
        <v>40.13000000000001</v>
      </c>
    </row>
    <row r="145" spans="1:10" x14ac:dyDescent="0.25">
      <c r="A145" t="s">
        <v>14</v>
      </c>
      <c r="B145">
        <v>15</v>
      </c>
      <c r="C145">
        <v>1865.26</v>
      </c>
      <c r="D145">
        <v>127.76</v>
      </c>
      <c r="E145">
        <v>81.680000000000007</v>
      </c>
      <c r="F145">
        <v>22.267199999999999</v>
      </c>
      <c r="G145">
        <v>4.0000000000000001E-3</v>
      </c>
      <c r="H145">
        <f t="shared" si="6"/>
        <v>6.8494472620438979E-2</v>
      </c>
      <c r="I145">
        <f t="shared" si="7"/>
        <v>4.3790141856899313E-2</v>
      </c>
      <c r="J145">
        <f t="shared" si="8"/>
        <v>46.08</v>
      </c>
    </row>
    <row r="146" spans="1:10" x14ac:dyDescent="0.25">
      <c r="A146" t="s">
        <v>14</v>
      </c>
      <c r="B146">
        <v>20</v>
      </c>
      <c r="C146">
        <v>1865.26</v>
      </c>
      <c r="D146">
        <v>147.83000000000001</v>
      </c>
      <c r="E146">
        <v>96.32</v>
      </c>
      <c r="F146">
        <v>22.766400000000001</v>
      </c>
      <c r="G146">
        <v>5.0000000000000001E-3</v>
      </c>
      <c r="H146">
        <f t="shared" si="6"/>
        <v>7.9254366683465041E-2</v>
      </c>
      <c r="I146">
        <f t="shared" si="7"/>
        <v>5.1638913609898883E-2</v>
      </c>
      <c r="J146">
        <f t="shared" si="8"/>
        <v>51.510000000000019</v>
      </c>
    </row>
    <row r="147" spans="1:10" x14ac:dyDescent="0.25">
      <c r="A147" t="s">
        <v>14</v>
      </c>
      <c r="B147">
        <v>25</v>
      </c>
      <c r="C147">
        <v>1865.26</v>
      </c>
      <c r="D147">
        <v>167.2</v>
      </c>
      <c r="E147">
        <v>110.28</v>
      </c>
      <c r="F147">
        <v>22.2379</v>
      </c>
      <c r="G147">
        <v>4.0000000000000001E-3</v>
      </c>
      <c r="H147">
        <f t="shared" si="6"/>
        <v>8.9638977944093576E-2</v>
      </c>
      <c r="I147">
        <f t="shared" si="7"/>
        <v>5.9123124926283736E-2</v>
      </c>
      <c r="J147">
        <f t="shared" si="8"/>
        <v>56.919999999999987</v>
      </c>
    </row>
    <row r="148" spans="1:10" x14ac:dyDescent="0.25">
      <c r="A148" t="s">
        <v>14</v>
      </c>
      <c r="B148">
        <v>30</v>
      </c>
      <c r="C148">
        <v>1865.26</v>
      </c>
      <c r="D148">
        <v>185.61</v>
      </c>
      <c r="E148">
        <v>124.53</v>
      </c>
      <c r="F148">
        <v>22.867599999999999</v>
      </c>
      <c r="G148">
        <v>4.0000000000000001E-3</v>
      </c>
      <c r="H148">
        <f t="shared" si="6"/>
        <v>9.9508915647148394E-2</v>
      </c>
      <c r="I148">
        <f t="shared" si="7"/>
        <v>6.6762810546518989E-2</v>
      </c>
      <c r="J148">
        <f t="shared" si="8"/>
        <v>61.080000000000013</v>
      </c>
    </row>
    <row r="149" spans="1:10" x14ac:dyDescent="0.25">
      <c r="A149" t="s">
        <v>14</v>
      </c>
      <c r="B149">
        <v>35</v>
      </c>
      <c r="C149">
        <v>1865.26</v>
      </c>
      <c r="D149">
        <v>203.22</v>
      </c>
      <c r="E149">
        <v>138.04</v>
      </c>
      <c r="F149">
        <v>22.572900000000001</v>
      </c>
      <c r="G149">
        <v>4.7000000000000002E-3</v>
      </c>
      <c r="H149">
        <f t="shared" si="6"/>
        <v>0.10894995871889174</v>
      </c>
      <c r="I149">
        <f t="shared" si="7"/>
        <v>7.4005768632791138E-2</v>
      </c>
      <c r="J149">
        <f t="shared" si="8"/>
        <v>65.180000000000007</v>
      </c>
    </row>
    <row r="150" spans="1:10" x14ac:dyDescent="0.25">
      <c r="A150" t="s">
        <v>14</v>
      </c>
      <c r="B150">
        <v>40</v>
      </c>
      <c r="C150">
        <v>1865.26</v>
      </c>
      <c r="D150">
        <v>216.95</v>
      </c>
      <c r="E150">
        <v>147.74</v>
      </c>
      <c r="F150">
        <v>22.683299999999999</v>
      </c>
      <c r="G150">
        <v>5.0000000000000001E-3</v>
      </c>
      <c r="H150">
        <f t="shared" si="6"/>
        <v>0.11631086282877454</v>
      </c>
      <c r="I150">
        <f t="shared" si="7"/>
        <v>7.9206116037442501E-2</v>
      </c>
      <c r="J150">
        <f t="shared" si="8"/>
        <v>69.20999999999998</v>
      </c>
    </row>
    <row r="151" spans="1:10" x14ac:dyDescent="0.25">
      <c r="A151" t="s">
        <v>14</v>
      </c>
      <c r="B151">
        <v>45</v>
      </c>
      <c r="C151">
        <v>1865.26</v>
      </c>
      <c r="D151">
        <v>232.04</v>
      </c>
      <c r="E151">
        <v>157.84</v>
      </c>
      <c r="F151">
        <v>22.8749</v>
      </c>
      <c r="G151">
        <v>4.0000000000000001E-3</v>
      </c>
      <c r="H151">
        <f t="shared" si="6"/>
        <v>0.12440088781188681</v>
      </c>
      <c r="I151">
        <f t="shared" si="7"/>
        <v>8.4620910757749593E-2</v>
      </c>
      <c r="J151">
        <f t="shared" si="8"/>
        <v>74.199999999999989</v>
      </c>
    </row>
    <row r="152" spans="1:10" x14ac:dyDescent="0.25">
      <c r="A152" t="s">
        <v>14</v>
      </c>
      <c r="B152">
        <v>50</v>
      </c>
      <c r="C152">
        <v>1865.26</v>
      </c>
      <c r="D152">
        <v>244.99</v>
      </c>
      <c r="E152">
        <v>166.54</v>
      </c>
      <c r="F152">
        <v>22.591100000000001</v>
      </c>
      <c r="G152">
        <v>4.0000000000000001E-3</v>
      </c>
      <c r="H152">
        <f t="shared" si="6"/>
        <v>0.13134361965624095</v>
      </c>
      <c r="I152">
        <f t="shared" si="7"/>
        <v>8.9285139873261629E-2</v>
      </c>
      <c r="J152">
        <f t="shared" si="8"/>
        <v>78.450000000000017</v>
      </c>
    </row>
    <row r="153" spans="1:10" x14ac:dyDescent="0.25">
      <c r="A153" t="s">
        <v>14</v>
      </c>
      <c r="B153">
        <v>55</v>
      </c>
      <c r="C153">
        <v>1865.26</v>
      </c>
      <c r="D153">
        <v>258.57</v>
      </c>
      <c r="E153">
        <v>175.46</v>
      </c>
      <c r="F153">
        <v>24.452300000000001</v>
      </c>
      <c r="G153">
        <v>5.0000000000000001E-3</v>
      </c>
      <c r="H153">
        <f t="shared" si="6"/>
        <v>0.13862410602275285</v>
      </c>
      <c r="I153">
        <f t="shared" si="7"/>
        <v>9.4067315012384342E-2</v>
      </c>
      <c r="J153">
        <f t="shared" si="8"/>
        <v>83.109999999999985</v>
      </c>
    </row>
    <row r="154" spans="1:10" x14ac:dyDescent="0.25">
      <c r="A154" t="s">
        <v>14</v>
      </c>
      <c r="B154">
        <v>60</v>
      </c>
      <c r="C154">
        <v>1865.26</v>
      </c>
      <c r="D154">
        <v>275.42</v>
      </c>
      <c r="E154">
        <v>186.16</v>
      </c>
      <c r="F154">
        <v>23.23</v>
      </c>
      <c r="G154">
        <v>5.0000000000000001E-3</v>
      </c>
      <c r="H154">
        <f t="shared" si="6"/>
        <v>0.14765769919475033</v>
      </c>
      <c r="I154">
        <f t="shared" si="7"/>
        <v>9.9803780706175016E-2</v>
      </c>
      <c r="J154">
        <f t="shared" si="8"/>
        <v>89.260000000000019</v>
      </c>
    </row>
    <row r="155" spans="1:10" x14ac:dyDescent="0.25">
      <c r="A155" t="s">
        <v>14</v>
      </c>
      <c r="B155">
        <v>65</v>
      </c>
      <c r="C155">
        <v>1865.26</v>
      </c>
      <c r="D155">
        <v>296.8</v>
      </c>
      <c r="E155">
        <v>198.75</v>
      </c>
      <c r="F155">
        <v>23.218900000000001</v>
      </c>
      <c r="G155">
        <v>5.0000000000000001E-3</v>
      </c>
      <c r="H155">
        <f t="shared" si="6"/>
        <v>0.15911990821654889</v>
      </c>
      <c r="I155">
        <f t="shared" si="7"/>
        <v>0.10655350996643899</v>
      </c>
      <c r="J155">
        <f t="shared" si="8"/>
        <v>98.050000000000011</v>
      </c>
    </row>
    <row r="156" spans="1:10" x14ac:dyDescent="0.25">
      <c r="A156" t="s">
        <v>14</v>
      </c>
      <c r="B156">
        <v>70</v>
      </c>
      <c r="C156">
        <v>1865.26</v>
      </c>
      <c r="D156">
        <v>321</v>
      </c>
      <c r="E156">
        <v>213.48</v>
      </c>
      <c r="F156">
        <v>24.0716</v>
      </c>
      <c r="G156">
        <v>5.0000000000000001E-3</v>
      </c>
      <c r="H156">
        <f t="shared" si="6"/>
        <v>0.17209397081372035</v>
      </c>
      <c r="I156">
        <f t="shared" si="7"/>
        <v>0.11445053236546111</v>
      </c>
      <c r="J156">
        <f t="shared" si="8"/>
        <v>107.52000000000001</v>
      </c>
    </row>
    <row r="157" spans="1:10" x14ac:dyDescent="0.25">
      <c r="A157" t="s">
        <v>14</v>
      </c>
      <c r="B157">
        <v>75</v>
      </c>
      <c r="C157">
        <v>1865.26</v>
      </c>
      <c r="D157">
        <v>349.3</v>
      </c>
      <c r="E157">
        <v>231.12</v>
      </c>
      <c r="F157">
        <v>24.047599999999999</v>
      </c>
      <c r="G157">
        <v>5.0000000000000001E-3</v>
      </c>
      <c r="H157">
        <f t="shared" si="6"/>
        <v>0.18726611839636298</v>
      </c>
      <c r="I157">
        <f t="shared" si="7"/>
        <v>0.12390765898587865</v>
      </c>
      <c r="J157">
        <f t="shared" si="8"/>
        <v>118.18</v>
      </c>
    </row>
    <row r="158" spans="1:10" x14ac:dyDescent="0.25">
      <c r="A158" t="s">
        <v>14</v>
      </c>
      <c r="B158">
        <v>80</v>
      </c>
      <c r="C158">
        <v>1865.26</v>
      </c>
      <c r="D158">
        <v>392.49</v>
      </c>
      <c r="E158">
        <v>255.74</v>
      </c>
      <c r="F158">
        <v>23.469200000000001</v>
      </c>
      <c r="G158">
        <v>5.0000000000000001E-3</v>
      </c>
      <c r="H158">
        <f t="shared" si="6"/>
        <v>0.21042106730429003</v>
      </c>
      <c r="I158">
        <f t="shared" si="7"/>
        <v>0.13710689126448861</v>
      </c>
      <c r="J158">
        <f t="shared" si="8"/>
        <v>136.75</v>
      </c>
    </row>
    <row r="159" spans="1:10" x14ac:dyDescent="0.25">
      <c r="A159" t="s">
        <v>14</v>
      </c>
      <c r="B159">
        <v>85</v>
      </c>
      <c r="C159">
        <v>1865.26</v>
      </c>
      <c r="D159">
        <v>452.93</v>
      </c>
      <c r="E159">
        <v>288.26</v>
      </c>
      <c r="F159">
        <v>23.750399999999999</v>
      </c>
      <c r="G159">
        <v>4.7999999999999996E-3</v>
      </c>
      <c r="H159">
        <f t="shared" si="6"/>
        <v>0.24282405669987026</v>
      </c>
      <c r="I159">
        <f t="shared" si="7"/>
        <v>0.15454145802729913</v>
      </c>
      <c r="J159">
        <f t="shared" si="8"/>
        <v>164.67000000000002</v>
      </c>
    </row>
    <row r="160" spans="1:10" x14ac:dyDescent="0.25">
      <c r="A160" t="s">
        <v>14</v>
      </c>
      <c r="B160">
        <v>90</v>
      </c>
      <c r="C160">
        <v>1865.26</v>
      </c>
      <c r="D160">
        <v>567.84</v>
      </c>
      <c r="E160">
        <v>348.47</v>
      </c>
      <c r="F160">
        <v>23.8188</v>
      </c>
      <c r="G160">
        <v>6.0000000000000001E-3</v>
      </c>
      <c r="H160">
        <f t="shared" si="6"/>
        <v>0.30442940930486906</v>
      </c>
      <c r="I160">
        <f t="shared" si="7"/>
        <v>0.18682114021637736</v>
      </c>
      <c r="J160">
        <f t="shared" si="8"/>
        <v>219.37</v>
      </c>
    </row>
    <row r="161" spans="1:10" x14ac:dyDescent="0.25">
      <c r="A161" t="s">
        <v>14</v>
      </c>
      <c r="B161">
        <v>95</v>
      </c>
      <c r="C161">
        <v>1865.26</v>
      </c>
      <c r="D161">
        <v>813.38</v>
      </c>
      <c r="E161">
        <v>475.67</v>
      </c>
      <c r="F161">
        <v>24.769400000000001</v>
      </c>
      <c r="G161">
        <v>7.0000000000000001E-3</v>
      </c>
      <c r="H161">
        <f t="shared" si="6"/>
        <v>0.43606789402013663</v>
      </c>
      <c r="I161">
        <f t="shared" si="7"/>
        <v>0.25501538659489831</v>
      </c>
      <c r="J161">
        <f t="shared" si="8"/>
        <v>337.71</v>
      </c>
    </row>
    <row r="162" spans="1:10" x14ac:dyDescent="0.25">
      <c r="A162" t="s">
        <v>15</v>
      </c>
      <c r="B162">
        <v>0</v>
      </c>
      <c r="C162">
        <v>2138.34</v>
      </c>
      <c r="D162">
        <v>66.75</v>
      </c>
      <c r="E162">
        <v>36.9</v>
      </c>
      <c r="F162">
        <v>23.299900000000001</v>
      </c>
      <c r="G162">
        <v>4.0000000000000001E-3</v>
      </c>
      <c r="H162">
        <f t="shared" si="6"/>
        <v>3.1215802912539631E-2</v>
      </c>
      <c r="I162">
        <f t="shared" si="7"/>
        <v>1.7256376441538761E-2</v>
      </c>
      <c r="J162">
        <f t="shared" si="8"/>
        <v>29.85</v>
      </c>
    </row>
    <row r="163" spans="1:10" x14ac:dyDescent="0.25">
      <c r="A163" t="s">
        <v>15</v>
      </c>
      <c r="B163">
        <v>5</v>
      </c>
      <c r="C163">
        <v>2138.34</v>
      </c>
      <c r="D163">
        <v>80.760000000000005</v>
      </c>
      <c r="E163">
        <v>47.71</v>
      </c>
      <c r="F163">
        <v>22.921500000000002</v>
      </c>
      <c r="G163">
        <v>4.0000000000000001E-3</v>
      </c>
      <c r="H163">
        <f t="shared" si="6"/>
        <v>3.7767614130587275E-2</v>
      </c>
      <c r="I163">
        <f t="shared" si="7"/>
        <v>2.2311699729696866E-2</v>
      </c>
      <c r="J163">
        <f t="shared" si="8"/>
        <v>33.050000000000004</v>
      </c>
    </row>
    <row r="164" spans="1:10" x14ac:dyDescent="0.25">
      <c r="A164" t="s">
        <v>15</v>
      </c>
      <c r="B164">
        <v>10</v>
      </c>
      <c r="C164">
        <v>2138.34</v>
      </c>
      <c r="D164">
        <v>107.9</v>
      </c>
      <c r="E164">
        <v>67.709999999999994</v>
      </c>
      <c r="F164">
        <v>22.216799999999999</v>
      </c>
      <c r="G164">
        <v>4.0000000000000001E-3</v>
      </c>
      <c r="H164">
        <f t="shared" si="6"/>
        <v>5.0459702385962944E-2</v>
      </c>
      <c r="I164">
        <f t="shared" si="7"/>
        <v>3.1664749291506492E-2</v>
      </c>
      <c r="J164">
        <f t="shared" si="8"/>
        <v>40.190000000000012</v>
      </c>
    </row>
    <row r="165" spans="1:10" x14ac:dyDescent="0.25">
      <c r="A165" t="s">
        <v>15</v>
      </c>
      <c r="B165">
        <v>15</v>
      </c>
      <c r="C165">
        <v>2138.34</v>
      </c>
      <c r="D165">
        <v>132.01</v>
      </c>
      <c r="E165">
        <v>84.85</v>
      </c>
      <c r="F165">
        <v>23.722799999999999</v>
      </c>
      <c r="G165">
        <v>4.0000000000000001E-3</v>
      </c>
      <c r="H165">
        <f t="shared" si="6"/>
        <v>6.173480363272444E-2</v>
      </c>
      <c r="I165">
        <f t="shared" si="7"/>
        <v>3.9680312765977339E-2</v>
      </c>
      <c r="J165">
        <f t="shared" si="8"/>
        <v>47.16</v>
      </c>
    </row>
    <row r="166" spans="1:10" x14ac:dyDescent="0.25">
      <c r="A166" t="s">
        <v>15</v>
      </c>
      <c r="B166">
        <v>20</v>
      </c>
      <c r="C166">
        <v>2138.34</v>
      </c>
      <c r="D166">
        <v>154.22</v>
      </c>
      <c r="E166">
        <v>100.18</v>
      </c>
      <c r="F166">
        <v>24.952500000000001</v>
      </c>
      <c r="G166">
        <v>5.0000000000000001E-3</v>
      </c>
      <c r="H166">
        <f t="shared" si="6"/>
        <v>7.2121365171114032E-2</v>
      </c>
      <c r="I166">
        <f t="shared" si="7"/>
        <v>4.6849425255104424E-2</v>
      </c>
      <c r="J166">
        <f t="shared" si="8"/>
        <v>54.039999999999992</v>
      </c>
    </row>
    <row r="167" spans="1:10" x14ac:dyDescent="0.25">
      <c r="A167" t="s">
        <v>15</v>
      </c>
      <c r="B167">
        <v>25</v>
      </c>
      <c r="C167">
        <v>2138.34</v>
      </c>
      <c r="D167">
        <v>174.97</v>
      </c>
      <c r="E167">
        <v>114.64</v>
      </c>
      <c r="F167">
        <v>25.043700000000001</v>
      </c>
      <c r="G167">
        <v>5.0000000000000001E-3</v>
      </c>
      <c r="H167">
        <f t="shared" si="6"/>
        <v>8.182515409149152E-2</v>
      </c>
      <c r="I167">
        <f t="shared" si="7"/>
        <v>5.3611680088292785E-2</v>
      </c>
      <c r="J167">
        <f t="shared" si="8"/>
        <v>60.33</v>
      </c>
    </row>
    <row r="168" spans="1:10" x14ac:dyDescent="0.25">
      <c r="A168" t="s">
        <v>15</v>
      </c>
      <c r="B168">
        <v>30</v>
      </c>
      <c r="C168">
        <v>2138.34</v>
      </c>
      <c r="D168">
        <v>194.64</v>
      </c>
      <c r="E168">
        <v>128.78</v>
      </c>
      <c r="F168">
        <v>24.6645</v>
      </c>
      <c r="G168">
        <v>5.0000000000000001E-3</v>
      </c>
      <c r="H168">
        <f t="shared" si="6"/>
        <v>9.1023878335531286E-2</v>
      </c>
      <c r="I168">
        <f t="shared" si="7"/>
        <v>6.0224286128492191E-2</v>
      </c>
      <c r="J168">
        <f t="shared" si="8"/>
        <v>65.859999999999985</v>
      </c>
    </row>
    <row r="169" spans="1:10" x14ac:dyDescent="0.25">
      <c r="A169" t="s">
        <v>15</v>
      </c>
      <c r="B169">
        <v>35</v>
      </c>
      <c r="C169">
        <v>2138.34</v>
      </c>
      <c r="D169">
        <v>213.26</v>
      </c>
      <c r="E169">
        <v>141.97999999999999</v>
      </c>
      <c r="F169">
        <v>24.1084</v>
      </c>
      <c r="G169">
        <v>6.0000000000000001E-3</v>
      </c>
      <c r="H169">
        <f t="shared" si="6"/>
        <v>9.9731567477576055E-2</v>
      </c>
      <c r="I169">
        <f t="shared" si="7"/>
        <v>6.6397298839286537E-2</v>
      </c>
      <c r="J169">
        <f t="shared" si="8"/>
        <v>71.28</v>
      </c>
    </row>
    <row r="170" spans="1:10" x14ac:dyDescent="0.25">
      <c r="A170" t="s">
        <v>15</v>
      </c>
      <c r="B170">
        <v>40</v>
      </c>
      <c r="C170">
        <v>2138.34</v>
      </c>
      <c r="D170">
        <v>228.69</v>
      </c>
      <c r="E170">
        <v>152.55000000000001</v>
      </c>
      <c r="F170">
        <v>24.549600000000002</v>
      </c>
      <c r="G170">
        <v>6.0000000000000001E-3</v>
      </c>
      <c r="H170">
        <f t="shared" si="6"/>
        <v>0.10694744521451219</v>
      </c>
      <c r="I170">
        <f t="shared" si="7"/>
        <v>7.1340385532702943E-2</v>
      </c>
      <c r="J170">
        <f t="shared" si="8"/>
        <v>76.139999999999986</v>
      </c>
    </row>
    <row r="171" spans="1:10" x14ac:dyDescent="0.25">
      <c r="A171" t="s">
        <v>15</v>
      </c>
      <c r="B171">
        <v>45</v>
      </c>
      <c r="C171">
        <v>2138.34</v>
      </c>
      <c r="D171">
        <v>245.85</v>
      </c>
      <c r="E171">
        <v>164.12</v>
      </c>
      <c r="F171">
        <v>24.206299999999999</v>
      </c>
      <c r="G171">
        <v>5.0000000000000001E-3</v>
      </c>
      <c r="H171">
        <f t="shared" si="6"/>
        <v>0.11497236173854485</v>
      </c>
      <c r="I171">
        <f t="shared" si="7"/>
        <v>7.6751124704209805E-2</v>
      </c>
      <c r="J171">
        <f t="shared" si="8"/>
        <v>81.72999999999999</v>
      </c>
    </row>
    <row r="172" spans="1:10" x14ac:dyDescent="0.25">
      <c r="A172" t="s">
        <v>15</v>
      </c>
      <c r="B172">
        <v>50</v>
      </c>
      <c r="C172">
        <v>2138.34</v>
      </c>
      <c r="D172">
        <v>261.41000000000003</v>
      </c>
      <c r="E172">
        <v>174.43</v>
      </c>
      <c r="F172">
        <v>24.867000000000001</v>
      </c>
      <c r="G172">
        <v>6.0000000000000001E-3</v>
      </c>
      <c r="H172">
        <f t="shared" si="6"/>
        <v>0.12224903429763274</v>
      </c>
      <c r="I172">
        <f t="shared" si="7"/>
        <v>8.1572621753322666E-2</v>
      </c>
      <c r="J172">
        <f t="shared" si="8"/>
        <v>86.980000000000018</v>
      </c>
    </row>
    <row r="173" spans="1:10" x14ac:dyDescent="0.25">
      <c r="A173" t="s">
        <v>15</v>
      </c>
      <c r="B173">
        <v>55</v>
      </c>
      <c r="C173">
        <v>2138.34</v>
      </c>
      <c r="D173">
        <v>277.49</v>
      </c>
      <c r="E173">
        <v>185.6</v>
      </c>
      <c r="F173">
        <v>24.047699999999999</v>
      </c>
      <c r="G173">
        <v>5.0000000000000001E-3</v>
      </c>
      <c r="H173">
        <f t="shared" si="6"/>
        <v>0.12976888614532767</v>
      </c>
      <c r="I173">
        <f t="shared" si="7"/>
        <v>8.6796299933593335E-2</v>
      </c>
      <c r="J173">
        <f t="shared" si="8"/>
        <v>91.890000000000015</v>
      </c>
    </row>
    <row r="174" spans="1:10" x14ac:dyDescent="0.25">
      <c r="A174" t="s">
        <v>15</v>
      </c>
      <c r="B174">
        <v>60</v>
      </c>
      <c r="C174">
        <v>2138.34</v>
      </c>
      <c r="D174">
        <v>297.48</v>
      </c>
      <c r="E174">
        <v>198.75</v>
      </c>
      <c r="F174">
        <v>23.488299999999999</v>
      </c>
      <c r="G174">
        <v>5.0000000000000001E-3</v>
      </c>
      <c r="H174">
        <f t="shared" si="6"/>
        <v>0.1391172591823564</v>
      </c>
      <c r="I174">
        <f t="shared" si="7"/>
        <v>9.2945930020483167E-2</v>
      </c>
      <c r="J174">
        <f t="shared" si="8"/>
        <v>98.730000000000018</v>
      </c>
    </row>
    <row r="175" spans="1:10" x14ac:dyDescent="0.25">
      <c r="A175" t="s">
        <v>15</v>
      </c>
      <c r="B175">
        <v>65</v>
      </c>
      <c r="C175">
        <v>2138.34</v>
      </c>
      <c r="D175">
        <v>322.77</v>
      </c>
      <c r="E175">
        <v>215.59</v>
      </c>
      <c r="F175">
        <v>24.408200000000001</v>
      </c>
      <c r="G175">
        <v>5.0000000000000001E-3</v>
      </c>
      <c r="H175">
        <f t="shared" si="6"/>
        <v>0.15094419035326467</v>
      </c>
      <c r="I175">
        <f t="shared" si="7"/>
        <v>0.10082119775152688</v>
      </c>
      <c r="J175">
        <f t="shared" si="8"/>
        <v>107.17999999999998</v>
      </c>
    </row>
    <row r="176" spans="1:10" x14ac:dyDescent="0.25">
      <c r="A176" t="s">
        <v>15</v>
      </c>
      <c r="B176">
        <v>70</v>
      </c>
      <c r="C176">
        <v>2138.34</v>
      </c>
      <c r="D176">
        <v>351.82</v>
      </c>
      <c r="E176">
        <v>235.66</v>
      </c>
      <c r="F176">
        <v>24.974799999999998</v>
      </c>
      <c r="G176">
        <v>5.0000000000000001E-3</v>
      </c>
      <c r="H176">
        <f t="shared" si="6"/>
        <v>0.16452949484179316</v>
      </c>
      <c r="I176">
        <f t="shared" si="7"/>
        <v>0.11020698298680284</v>
      </c>
      <c r="J176">
        <f t="shared" si="8"/>
        <v>116.16</v>
      </c>
    </row>
    <row r="177" spans="1:10" x14ac:dyDescent="0.25">
      <c r="A177" t="s">
        <v>15</v>
      </c>
      <c r="B177">
        <v>75</v>
      </c>
      <c r="C177">
        <v>2138.34</v>
      </c>
      <c r="D177">
        <v>385.83</v>
      </c>
      <c r="E177">
        <v>259.02999999999997</v>
      </c>
      <c r="F177">
        <v>24.35</v>
      </c>
      <c r="G177">
        <v>6.0000000000000001E-3</v>
      </c>
      <c r="H177">
        <f t="shared" si="6"/>
        <v>0.18043435562165042</v>
      </c>
      <c r="I177">
        <f t="shared" si="7"/>
        <v>0.12113602139977737</v>
      </c>
      <c r="J177">
        <f t="shared" si="8"/>
        <v>126.80000000000001</v>
      </c>
    </row>
    <row r="178" spans="1:10" x14ac:dyDescent="0.25">
      <c r="A178" t="s">
        <v>15</v>
      </c>
      <c r="B178">
        <v>80</v>
      </c>
      <c r="C178">
        <v>2138.34</v>
      </c>
      <c r="D178">
        <v>439.3</v>
      </c>
      <c r="E178">
        <v>294.44</v>
      </c>
      <c r="F178">
        <v>25.021599999999999</v>
      </c>
      <c r="G178">
        <v>6.0000000000000001E-3</v>
      </c>
      <c r="H178">
        <f t="shared" si="6"/>
        <v>0.20543973362514847</v>
      </c>
      <c r="I178">
        <f t="shared" si="7"/>
        <v>0.13769559564896133</v>
      </c>
      <c r="J178">
        <f t="shared" si="8"/>
        <v>144.86000000000001</v>
      </c>
    </row>
    <row r="179" spans="1:10" x14ac:dyDescent="0.25">
      <c r="A179" t="s">
        <v>15</v>
      </c>
      <c r="B179">
        <v>85</v>
      </c>
      <c r="C179">
        <v>2138.34</v>
      </c>
      <c r="D179">
        <v>512.41999999999996</v>
      </c>
      <c r="E179">
        <v>342.63</v>
      </c>
      <c r="F179">
        <v>25.122800000000002</v>
      </c>
      <c r="G179">
        <v>6.0000000000000001E-3</v>
      </c>
      <c r="H179">
        <f t="shared" si="6"/>
        <v>0.23963448282312444</v>
      </c>
      <c r="I179">
        <f t="shared" si="7"/>
        <v>0.16023176856814164</v>
      </c>
      <c r="J179">
        <f t="shared" si="8"/>
        <v>169.78999999999996</v>
      </c>
    </row>
    <row r="180" spans="1:10" x14ac:dyDescent="0.25">
      <c r="A180" t="s">
        <v>15</v>
      </c>
      <c r="B180">
        <v>90</v>
      </c>
      <c r="C180">
        <v>2138.34</v>
      </c>
      <c r="D180">
        <v>643.14</v>
      </c>
      <c r="E180">
        <v>426.35</v>
      </c>
      <c r="F180">
        <v>26.0654</v>
      </c>
      <c r="G180">
        <v>7.0000000000000001E-3</v>
      </c>
      <c r="H180">
        <f t="shared" si="6"/>
        <v>0.30076601475911219</v>
      </c>
      <c r="I180">
        <f t="shared" si="7"/>
        <v>0.19938363403387674</v>
      </c>
      <c r="J180">
        <f t="shared" si="8"/>
        <v>216.78999999999996</v>
      </c>
    </row>
    <row r="181" spans="1:10" x14ac:dyDescent="0.25">
      <c r="A181" t="s">
        <v>15</v>
      </c>
      <c r="B181">
        <v>95</v>
      </c>
      <c r="C181">
        <v>2138.34</v>
      </c>
      <c r="D181">
        <v>924.01</v>
      </c>
      <c r="E181">
        <v>603.79</v>
      </c>
      <c r="F181">
        <v>26.0672</v>
      </c>
      <c r="G181">
        <v>8.0000000000000002E-3</v>
      </c>
      <c r="H181">
        <f t="shared" si="6"/>
        <v>0.43211556628038567</v>
      </c>
      <c r="I181">
        <f t="shared" si="7"/>
        <v>0.28236388974625171</v>
      </c>
      <c r="J181">
        <f t="shared" si="8"/>
        <v>320.22000000000003</v>
      </c>
    </row>
    <row r="182" spans="1:10" x14ac:dyDescent="0.25">
      <c r="A182" t="s">
        <v>16</v>
      </c>
      <c r="B182">
        <v>0</v>
      </c>
      <c r="C182">
        <v>51.7</v>
      </c>
      <c r="D182">
        <v>28.69</v>
      </c>
      <c r="E182">
        <v>15.44</v>
      </c>
      <c r="F182">
        <v>11.4353</v>
      </c>
      <c r="G182">
        <v>4.0000000000000001E-3</v>
      </c>
      <c r="H182">
        <f t="shared" si="6"/>
        <v>0.55493230174081243</v>
      </c>
      <c r="I182">
        <f t="shared" si="7"/>
        <v>0.29864603481624757</v>
      </c>
      <c r="J182">
        <f t="shared" si="8"/>
        <v>13.250000000000002</v>
      </c>
    </row>
    <row r="183" spans="1:10" x14ac:dyDescent="0.25">
      <c r="A183" t="s">
        <v>16</v>
      </c>
      <c r="B183">
        <v>5</v>
      </c>
      <c r="C183">
        <v>51.7</v>
      </c>
      <c r="D183">
        <v>31.22</v>
      </c>
      <c r="E183">
        <v>17.399999999999999</v>
      </c>
      <c r="F183">
        <v>11.1005</v>
      </c>
      <c r="G183">
        <v>2E-3</v>
      </c>
      <c r="H183">
        <f t="shared" si="6"/>
        <v>0.60386847195357829</v>
      </c>
      <c r="I183">
        <f t="shared" si="7"/>
        <v>0.33655705996131524</v>
      </c>
      <c r="J183">
        <f t="shared" si="8"/>
        <v>13.82</v>
      </c>
    </row>
    <row r="184" spans="1:10" x14ac:dyDescent="0.25">
      <c r="A184" t="s">
        <v>16</v>
      </c>
      <c r="B184">
        <v>10</v>
      </c>
      <c r="C184">
        <v>51.7</v>
      </c>
      <c r="D184">
        <v>35.69</v>
      </c>
      <c r="E184">
        <v>21.06</v>
      </c>
      <c r="F184">
        <v>11.2506</v>
      </c>
      <c r="G184">
        <v>2E-3</v>
      </c>
      <c r="H184">
        <f t="shared" si="6"/>
        <v>0.69032882011605412</v>
      </c>
      <c r="I184">
        <f t="shared" si="7"/>
        <v>0.40735009671179878</v>
      </c>
      <c r="J184">
        <f t="shared" si="8"/>
        <v>14.629999999999999</v>
      </c>
    </row>
    <row r="185" spans="1:10" x14ac:dyDescent="0.25">
      <c r="A185" t="s">
        <v>16</v>
      </c>
      <c r="B185">
        <v>15</v>
      </c>
      <c r="C185">
        <v>51.7</v>
      </c>
      <c r="D185">
        <v>39.75</v>
      </c>
      <c r="E185">
        <v>24.22</v>
      </c>
      <c r="F185">
        <v>11.391999999999999</v>
      </c>
      <c r="G185">
        <v>2E-3</v>
      </c>
      <c r="H185">
        <f t="shared" si="6"/>
        <v>0.7688588007736944</v>
      </c>
      <c r="I185">
        <f t="shared" si="7"/>
        <v>0.46847195357833649</v>
      </c>
      <c r="J185">
        <f t="shared" si="8"/>
        <v>15.530000000000001</v>
      </c>
    </row>
    <row r="186" spans="1:10" x14ac:dyDescent="0.25">
      <c r="A186" t="s">
        <v>16</v>
      </c>
      <c r="B186">
        <v>20</v>
      </c>
      <c r="C186">
        <v>51.7</v>
      </c>
      <c r="D186">
        <v>42.86</v>
      </c>
      <c r="E186">
        <v>26.84</v>
      </c>
      <c r="F186">
        <v>12.261200000000001</v>
      </c>
      <c r="G186">
        <v>2E-3</v>
      </c>
      <c r="H186">
        <f t="shared" si="6"/>
        <v>0.82901353965183744</v>
      </c>
      <c r="I186">
        <f t="shared" si="7"/>
        <v>0.51914893617021274</v>
      </c>
      <c r="J186">
        <f t="shared" si="8"/>
        <v>16.02</v>
      </c>
    </row>
    <row r="187" spans="1:10" x14ac:dyDescent="0.25">
      <c r="A187" t="s">
        <v>16</v>
      </c>
      <c r="B187">
        <v>25</v>
      </c>
      <c r="C187">
        <v>51.7</v>
      </c>
      <c r="D187">
        <v>46.03</v>
      </c>
      <c r="E187">
        <v>29.41</v>
      </c>
      <c r="F187">
        <v>11.930899999999999</v>
      </c>
      <c r="G187">
        <v>3.0000000000000001E-3</v>
      </c>
      <c r="H187">
        <f t="shared" si="6"/>
        <v>0.89032882011605419</v>
      </c>
      <c r="I187">
        <f t="shared" si="7"/>
        <v>0.56885880077369433</v>
      </c>
      <c r="J187">
        <f t="shared" si="8"/>
        <v>16.62</v>
      </c>
    </row>
    <row r="188" spans="1:10" x14ac:dyDescent="0.25">
      <c r="A188" t="s">
        <v>16</v>
      </c>
      <c r="B188">
        <v>30</v>
      </c>
      <c r="C188">
        <v>51.7</v>
      </c>
      <c r="D188">
        <v>48.81</v>
      </c>
      <c r="E188">
        <v>31.93</v>
      </c>
      <c r="F188">
        <v>11.8218</v>
      </c>
      <c r="G188">
        <v>1E-3</v>
      </c>
      <c r="H188">
        <f t="shared" si="6"/>
        <v>0.94410058027079302</v>
      </c>
      <c r="I188">
        <f t="shared" si="7"/>
        <v>0.61760154738878137</v>
      </c>
      <c r="J188">
        <f t="shared" si="8"/>
        <v>16.880000000000003</v>
      </c>
    </row>
    <row r="189" spans="1:10" x14ac:dyDescent="0.25">
      <c r="A189" t="s">
        <v>16</v>
      </c>
      <c r="B189">
        <v>35</v>
      </c>
      <c r="C189">
        <v>51.7</v>
      </c>
      <c r="D189">
        <v>51</v>
      </c>
      <c r="E189">
        <v>33.74</v>
      </c>
      <c r="F189">
        <v>11.7996</v>
      </c>
      <c r="G189">
        <v>1.5E-3</v>
      </c>
      <c r="H189">
        <f t="shared" si="6"/>
        <v>0.98646034816247574</v>
      </c>
      <c r="I189">
        <f t="shared" si="7"/>
        <v>0.65261121856866533</v>
      </c>
      <c r="J189">
        <f t="shared" si="8"/>
        <v>17.259999999999998</v>
      </c>
    </row>
    <row r="190" spans="1:10" x14ac:dyDescent="0.25">
      <c r="A190" t="s">
        <v>16</v>
      </c>
      <c r="B190">
        <v>40</v>
      </c>
      <c r="C190">
        <v>51.7</v>
      </c>
      <c r="D190">
        <v>53.18</v>
      </c>
      <c r="E190">
        <v>35.28</v>
      </c>
      <c r="F190">
        <v>12.575200000000001</v>
      </c>
      <c r="G190">
        <v>3.0000000000000001E-3</v>
      </c>
      <c r="H190">
        <f t="shared" si="6"/>
        <v>1.0286266924564795</v>
      </c>
      <c r="I190">
        <f t="shared" si="7"/>
        <v>0.68239845261121856</v>
      </c>
      <c r="J190">
        <f t="shared" si="8"/>
        <v>17.899999999999999</v>
      </c>
    </row>
    <row r="191" spans="1:10" x14ac:dyDescent="0.25">
      <c r="A191" t="s">
        <v>16</v>
      </c>
      <c r="B191">
        <v>45</v>
      </c>
      <c r="C191">
        <v>51.7</v>
      </c>
      <c r="D191">
        <v>55.18</v>
      </c>
      <c r="E191">
        <v>36.89</v>
      </c>
      <c r="F191">
        <v>11.7149</v>
      </c>
      <c r="G191">
        <v>2E-3</v>
      </c>
      <c r="H191">
        <f t="shared" si="6"/>
        <v>1.0673114119922631</v>
      </c>
      <c r="I191">
        <f t="shared" si="7"/>
        <v>0.7135396518375241</v>
      </c>
      <c r="J191">
        <f t="shared" si="8"/>
        <v>18.29</v>
      </c>
    </row>
    <row r="192" spans="1:10" x14ac:dyDescent="0.25">
      <c r="A192" t="s">
        <v>16</v>
      </c>
      <c r="B192">
        <v>50</v>
      </c>
      <c r="C192">
        <v>51.7</v>
      </c>
      <c r="D192">
        <v>56.89</v>
      </c>
      <c r="E192">
        <v>38.369999999999997</v>
      </c>
      <c r="F192">
        <v>11.1029</v>
      </c>
      <c r="G192">
        <v>2E-3</v>
      </c>
      <c r="H192">
        <f t="shared" si="6"/>
        <v>1.1003868471953577</v>
      </c>
      <c r="I192">
        <f t="shared" si="7"/>
        <v>0.74216634429400374</v>
      </c>
      <c r="J192">
        <f t="shared" si="8"/>
        <v>18.520000000000003</v>
      </c>
    </row>
    <row r="193" spans="1:10" x14ac:dyDescent="0.25">
      <c r="A193" t="s">
        <v>16</v>
      </c>
      <c r="B193">
        <v>55</v>
      </c>
      <c r="C193">
        <v>51.7</v>
      </c>
      <c r="D193">
        <v>59.11</v>
      </c>
      <c r="E193">
        <v>40.159999999999997</v>
      </c>
      <c r="F193">
        <v>11.2652</v>
      </c>
      <c r="G193">
        <v>2E-3</v>
      </c>
      <c r="H193">
        <f t="shared" si="6"/>
        <v>1.1433268858800774</v>
      </c>
      <c r="I193">
        <f t="shared" si="7"/>
        <v>0.77678916827852984</v>
      </c>
      <c r="J193">
        <f t="shared" si="8"/>
        <v>18.950000000000003</v>
      </c>
    </row>
    <row r="194" spans="1:10" x14ac:dyDescent="0.25">
      <c r="A194" t="s">
        <v>16</v>
      </c>
      <c r="B194">
        <v>60</v>
      </c>
      <c r="C194">
        <v>51.7</v>
      </c>
      <c r="D194">
        <v>61.68</v>
      </c>
      <c r="E194">
        <v>42.19</v>
      </c>
      <c r="F194">
        <v>11.2135</v>
      </c>
      <c r="G194">
        <v>2E-3</v>
      </c>
      <c r="H194">
        <f t="shared" si="6"/>
        <v>1.1930367504835588</v>
      </c>
      <c r="I194">
        <f t="shared" si="7"/>
        <v>0.81605415860734998</v>
      </c>
      <c r="J194">
        <f t="shared" si="8"/>
        <v>19.490000000000002</v>
      </c>
    </row>
    <row r="195" spans="1:10" x14ac:dyDescent="0.25">
      <c r="A195" t="s">
        <v>16</v>
      </c>
      <c r="B195">
        <v>65</v>
      </c>
      <c r="C195">
        <v>51.7</v>
      </c>
      <c r="D195">
        <v>64.81</v>
      </c>
      <c r="E195">
        <v>44.55</v>
      </c>
      <c r="F195">
        <v>11.5345</v>
      </c>
      <c r="G195">
        <v>2E-3</v>
      </c>
      <c r="H195">
        <f t="shared" ref="H195:H241" si="9">D195/C195</f>
        <v>1.2535783365570599</v>
      </c>
      <c r="I195">
        <f t="shared" ref="I195:I241" si="10">E195/C195</f>
        <v>0.86170212765957432</v>
      </c>
      <c r="J195">
        <f t="shared" ref="J195:J241" si="11">D195-E195</f>
        <v>20.260000000000005</v>
      </c>
    </row>
    <row r="196" spans="1:10" x14ac:dyDescent="0.25">
      <c r="A196" t="s">
        <v>16</v>
      </c>
      <c r="B196">
        <v>70</v>
      </c>
      <c r="C196">
        <v>51.7</v>
      </c>
      <c r="D196">
        <v>68.62</v>
      </c>
      <c r="E196">
        <v>47.72</v>
      </c>
      <c r="F196">
        <v>11.957100000000001</v>
      </c>
      <c r="G196">
        <v>4.0000000000000001E-3</v>
      </c>
      <c r="H196">
        <f t="shared" si="9"/>
        <v>1.3272727272727274</v>
      </c>
      <c r="I196">
        <f t="shared" si="10"/>
        <v>0.92301740812379107</v>
      </c>
      <c r="J196">
        <f t="shared" si="11"/>
        <v>20.900000000000006</v>
      </c>
    </row>
    <row r="197" spans="1:10" x14ac:dyDescent="0.25">
      <c r="A197" t="s">
        <v>16</v>
      </c>
      <c r="B197">
        <v>75</v>
      </c>
      <c r="C197">
        <v>51.7</v>
      </c>
      <c r="D197">
        <v>72.86</v>
      </c>
      <c r="E197">
        <v>50.85</v>
      </c>
      <c r="F197">
        <v>11.7834</v>
      </c>
      <c r="G197">
        <v>2E-3</v>
      </c>
      <c r="H197">
        <f t="shared" si="9"/>
        <v>1.409284332688588</v>
      </c>
      <c r="I197">
        <f t="shared" si="10"/>
        <v>0.98355899419729209</v>
      </c>
      <c r="J197">
        <f t="shared" si="11"/>
        <v>22.009999999999998</v>
      </c>
    </row>
    <row r="198" spans="1:10" x14ac:dyDescent="0.25">
      <c r="A198" t="s">
        <v>16</v>
      </c>
      <c r="B198">
        <v>80</v>
      </c>
      <c r="C198">
        <v>51.7</v>
      </c>
      <c r="D198">
        <v>77.930000000000007</v>
      </c>
      <c r="E198">
        <v>54.43</v>
      </c>
      <c r="F198">
        <v>11.681900000000001</v>
      </c>
      <c r="G198">
        <v>2E-3</v>
      </c>
      <c r="H198">
        <f t="shared" si="9"/>
        <v>1.507350096711799</v>
      </c>
      <c r="I198">
        <f t="shared" si="10"/>
        <v>1.0528046421663442</v>
      </c>
      <c r="J198">
        <f t="shared" si="11"/>
        <v>23.500000000000007</v>
      </c>
    </row>
    <row r="199" spans="1:10" x14ac:dyDescent="0.25">
      <c r="A199" t="s">
        <v>16</v>
      </c>
      <c r="B199">
        <v>85</v>
      </c>
      <c r="C199">
        <v>51.7</v>
      </c>
      <c r="D199">
        <v>84.59</v>
      </c>
      <c r="E199">
        <v>58.84</v>
      </c>
      <c r="F199">
        <v>11.8856</v>
      </c>
      <c r="G199">
        <v>2E-3</v>
      </c>
      <c r="H199">
        <f t="shared" si="9"/>
        <v>1.6361702127659574</v>
      </c>
      <c r="I199">
        <f t="shared" si="10"/>
        <v>1.1381044487427465</v>
      </c>
      <c r="J199">
        <f t="shared" si="11"/>
        <v>25.75</v>
      </c>
    </row>
    <row r="200" spans="1:10" x14ac:dyDescent="0.25">
      <c r="A200" t="s">
        <v>16</v>
      </c>
      <c r="B200">
        <v>90</v>
      </c>
      <c r="C200">
        <v>51.7</v>
      </c>
      <c r="D200">
        <v>98.49</v>
      </c>
      <c r="E200">
        <v>67.650000000000006</v>
      </c>
      <c r="F200">
        <v>12.0947</v>
      </c>
      <c r="G200">
        <v>2E-3</v>
      </c>
      <c r="H200">
        <f t="shared" si="9"/>
        <v>1.9050290135396517</v>
      </c>
      <c r="I200">
        <f t="shared" si="10"/>
        <v>1.3085106382978724</v>
      </c>
      <c r="J200">
        <f t="shared" si="11"/>
        <v>30.839999999999989</v>
      </c>
    </row>
    <row r="201" spans="1:10" x14ac:dyDescent="0.25">
      <c r="A201" t="s">
        <v>16</v>
      </c>
      <c r="B201">
        <v>95</v>
      </c>
      <c r="C201">
        <v>51.7</v>
      </c>
      <c r="D201">
        <v>125.98</v>
      </c>
      <c r="E201">
        <v>83.53</v>
      </c>
      <c r="F201">
        <v>11.803900000000001</v>
      </c>
      <c r="G201">
        <v>2E-3</v>
      </c>
      <c r="H201">
        <f t="shared" si="9"/>
        <v>2.4367504835589942</v>
      </c>
      <c r="I201">
        <f t="shared" si="10"/>
        <v>1.6156673114119922</v>
      </c>
      <c r="J201">
        <f t="shared" si="11"/>
        <v>42.45</v>
      </c>
    </row>
    <row r="202" spans="1:10" x14ac:dyDescent="0.25">
      <c r="A202" t="s">
        <v>17</v>
      </c>
      <c r="B202">
        <v>0</v>
      </c>
      <c r="C202">
        <v>14762.3</v>
      </c>
      <c r="D202">
        <v>194.99</v>
      </c>
      <c r="E202">
        <v>97</v>
      </c>
      <c r="F202">
        <v>90.482200000000006</v>
      </c>
      <c r="G202">
        <v>0.01</v>
      </c>
      <c r="H202">
        <f t="shared" si="9"/>
        <v>1.3208646349146137E-2</v>
      </c>
      <c r="I202">
        <f t="shared" si="10"/>
        <v>6.5707918142836825E-3</v>
      </c>
      <c r="J202">
        <f t="shared" si="11"/>
        <v>97.990000000000009</v>
      </c>
    </row>
    <row r="203" spans="1:10" x14ac:dyDescent="0.25">
      <c r="A203" t="s">
        <v>17</v>
      </c>
      <c r="B203">
        <v>5</v>
      </c>
      <c r="C203">
        <v>14762.3</v>
      </c>
      <c r="D203">
        <v>226.82</v>
      </c>
      <c r="E203">
        <v>123.57</v>
      </c>
      <c r="F203">
        <v>87.025199999999998</v>
      </c>
      <c r="G203">
        <v>9.7000000000000003E-3</v>
      </c>
      <c r="H203">
        <f t="shared" si="9"/>
        <v>1.5364814425936337E-2</v>
      </c>
      <c r="I203">
        <f t="shared" si="10"/>
        <v>8.3706468504230365E-3</v>
      </c>
      <c r="J203">
        <f t="shared" si="11"/>
        <v>103.25</v>
      </c>
    </row>
    <row r="204" spans="1:10" x14ac:dyDescent="0.25">
      <c r="A204" t="s">
        <v>17</v>
      </c>
      <c r="B204">
        <v>10</v>
      </c>
      <c r="C204">
        <v>14762.3</v>
      </c>
      <c r="D204">
        <v>294.11</v>
      </c>
      <c r="E204">
        <v>178.4</v>
      </c>
      <c r="F204">
        <v>85.926000000000002</v>
      </c>
      <c r="G204">
        <v>1.32E-2</v>
      </c>
      <c r="H204">
        <f t="shared" si="9"/>
        <v>1.9923047221638908E-2</v>
      </c>
      <c r="I204">
        <f t="shared" si="10"/>
        <v>1.2084837728538238E-2</v>
      </c>
      <c r="J204">
        <f t="shared" si="11"/>
        <v>115.71000000000001</v>
      </c>
    </row>
    <row r="205" spans="1:10" x14ac:dyDescent="0.25">
      <c r="A205" t="s">
        <v>17</v>
      </c>
      <c r="B205">
        <v>15</v>
      </c>
      <c r="C205">
        <v>14762.3</v>
      </c>
      <c r="D205">
        <v>350.67</v>
      </c>
      <c r="E205">
        <v>221.13</v>
      </c>
      <c r="F205">
        <v>87.687700000000007</v>
      </c>
      <c r="G205">
        <v>1.0999999999999999E-2</v>
      </c>
      <c r="H205">
        <f t="shared" si="9"/>
        <v>2.3754428510462465E-2</v>
      </c>
      <c r="I205">
        <f t="shared" si="10"/>
        <v>1.4979373132912893E-2</v>
      </c>
      <c r="J205">
        <f t="shared" si="11"/>
        <v>129.54000000000002</v>
      </c>
    </row>
    <row r="206" spans="1:10" x14ac:dyDescent="0.25">
      <c r="A206" t="s">
        <v>17</v>
      </c>
      <c r="B206">
        <v>20</v>
      </c>
      <c r="C206">
        <v>14762.3</v>
      </c>
      <c r="D206">
        <v>403.39</v>
      </c>
      <c r="E206">
        <v>258.18</v>
      </c>
      <c r="F206">
        <v>86.1892</v>
      </c>
      <c r="G206">
        <v>1.2E-2</v>
      </c>
      <c r="H206">
        <f t="shared" si="9"/>
        <v>2.7325687731586543E-2</v>
      </c>
      <c r="I206">
        <f t="shared" si="10"/>
        <v>1.7489144645482072E-2</v>
      </c>
      <c r="J206">
        <f t="shared" si="11"/>
        <v>145.20999999999998</v>
      </c>
    </row>
    <row r="207" spans="1:10" x14ac:dyDescent="0.25">
      <c r="A207" t="s">
        <v>17</v>
      </c>
      <c r="B207">
        <v>25</v>
      </c>
      <c r="C207">
        <v>14762.3</v>
      </c>
      <c r="D207">
        <v>454.59</v>
      </c>
      <c r="E207">
        <v>294.3</v>
      </c>
      <c r="F207">
        <v>85.759699999999995</v>
      </c>
      <c r="G207">
        <v>1.0999999999999999E-2</v>
      </c>
      <c r="H207">
        <f t="shared" si="9"/>
        <v>3.0793981967579577E-2</v>
      </c>
      <c r="I207">
        <f t="shared" si="10"/>
        <v>1.9935917844780288E-2</v>
      </c>
      <c r="J207">
        <f t="shared" si="11"/>
        <v>160.28999999999996</v>
      </c>
    </row>
    <row r="208" spans="1:10" x14ac:dyDescent="0.25">
      <c r="A208" t="s">
        <v>17</v>
      </c>
      <c r="B208">
        <v>30</v>
      </c>
      <c r="C208">
        <v>14762.3</v>
      </c>
      <c r="D208">
        <v>494.4</v>
      </c>
      <c r="E208">
        <v>326.39999999999998</v>
      </c>
      <c r="F208">
        <v>86.450400000000002</v>
      </c>
      <c r="G208">
        <v>1.2E-2</v>
      </c>
      <c r="H208">
        <f t="shared" si="9"/>
        <v>3.349071621630776E-2</v>
      </c>
      <c r="I208">
        <f t="shared" si="10"/>
        <v>2.2110375754455607E-2</v>
      </c>
      <c r="J208">
        <f t="shared" si="11"/>
        <v>168</v>
      </c>
    </row>
    <row r="209" spans="1:10" x14ac:dyDescent="0.25">
      <c r="A209" t="s">
        <v>17</v>
      </c>
      <c r="B209">
        <v>35</v>
      </c>
      <c r="C209">
        <v>14762.3</v>
      </c>
      <c r="D209">
        <v>558.38</v>
      </c>
      <c r="E209">
        <v>379.33</v>
      </c>
      <c r="F209">
        <v>87.097200000000001</v>
      </c>
      <c r="G209">
        <v>1.2500000000000001E-2</v>
      </c>
      <c r="H209">
        <f t="shared" si="9"/>
        <v>3.7824729208863116E-2</v>
      </c>
      <c r="I209">
        <f t="shared" si="10"/>
        <v>2.5695860401157001E-2</v>
      </c>
      <c r="J209">
        <f t="shared" si="11"/>
        <v>179.05</v>
      </c>
    </row>
    <row r="210" spans="1:10" x14ac:dyDescent="0.25">
      <c r="A210" t="s">
        <v>17</v>
      </c>
      <c r="B210">
        <v>40</v>
      </c>
      <c r="C210">
        <v>14762.3</v>
      </c>
      <c r="D210">
        <v>585.75</v>
      </c>
      <c r="E210">
        <v>396.7</v>
      </c>
      <c r="F210">
        <v>87.342799999999997</v>
      </c>
      <c r="G210">
        <v>1.2E-2</v>
      </c>
      <c r="H210">
        <f t="shared" si="9"/>
        <v>3.9678776342439867E-2</v>
      </c>
      <c r="I210">
        <f t="shared" si="10"/>
        <v>2.6872506316766357E-2</v>
      </c>
      <c r="J210">
        <f t="shared" si="11"/>
        <v>189.05</v>
      </c>
    </row>
    <row r="211" spans="1:10" x14ac:dyDescent="0.25">
      <c r="A211" t="s">
        <v>17</v>
      </c>
      <c r="B211">
        <v>45</v>
      </c>
      <c r="C211">
        <v>14762.3</v>
      </c>
      <c r="D211">
        <v>617.01</v>
      </c>
      <c r="E211">
        <v>412</v>
      </c>
      <c r="F211">
        <v>87.9071</v>
      </c>
      <c r="G211">
        <v>1.2E-2</v>
      </c>
      <c r="H211">
        <f t="shared" si="9"/>
        <v>4.1796332549805928E-2</v>
      </c>
      <c r="I211">
        <f t="shared" si="10"/>
        <v>2.7908930180256464E-2</v>
      </c>
      <c r="J211">
        <f t="shared" si="11"/>
        <v>205.01</v>
      </c>
    </row>
    <row r="212" spans="1:10" x14ac:dyDescent="0.25">
      <c r="A212" t="s">
        <v>17</v>
      </c>
      <c r="B212">
        <v>50</v>
      </c>
      <c r="C212">
        <v>14762.3</v>
      </c>
      <c r="D212">
        <v>640.16</v>
      </c>
      <c r="E212">
        <v>428.34</v>
      </c>
      <c r="F212">
        <v>90.712599999999995</v>
      </c>
      <c r="G212">
        <v>1.2E-2</v>
      </c>
      <c r="H212">
        <f t="shared" si="9"/>
        <v>4.3364516369400433E-2</v>
      </c>
      <c r="I212">
        <f t="shared" si="10"/>
        <v>2.9015803770415179E-2</v>
      </c>
      <c r="J212">
        <f t="shared" si="11"/>
        <v>211.82</v>
      </c>
    </row>
    <row r="213" spans="1:10" x14ac:dyDescent="0.25">
      <c r="A213" t="s">
        <v>17</v>
      </c>
      <c r="B213">
        <v>55</v>
      </c>
      <c r="C213">
        <v>14762.3</v>
      </c>
      <c r="D213">
        <v>666.12</v>
      </c>
      <c r="E213">
        <v>451.68</v>
      </c>
      <c r="F213">
        <v>87.141199999999998</v>
      </c>
      <c r="G213">
        <v>1.2999999999999999E-2</v>
      </c>
      <c r="H213">
        <f t="shared" si="9"/>
        <v>4.5123049931243782E-2</v>
      </c>
      <c r="I213">
        <f t="shared" si="10"/>
        <v>3.0596858213151071E-2</v>
      </c>
      <c r="J213">
        <f t="shared" si="11"/>
        <v>214.44</v>
      </c>
    </row>
    <row r="214" spans="1:10" x14ac:dyDescent="0.25">
      <c r="A214" t="s">
        <v>17</v>
      </c>
      <c r="B214">
        <v>60</v>
      </c>
      <c r="C214">
        <v>14762.3</v>
      </c>
      <c r="D214">
        <v>828.51</v>
      </c>
      <c r="E214">
        <v>614.88</v>
      </c>
      <c r="F214">
        <v>87.908600000000007</v>
      </c>
      <c r="G214">
        <v>1.41E-2</v>
      </c>
      <c r="H214">
        <f t="shared" si="9"/>
        <v>5.6123368309816221E-2</v>
      </c>
      <c r="I214">
        <f t="shared" si="10"/>
        <v>4.1652046090378869E-2</v>
      </c>
      <c r="J214">
        <f t="shared" si="11"/>
        <v>213.63</v>
      </c>
    </row>
    <row r="215" spans="1:10" x14ac:dyDescent="0.25">
      <c r="A215" t="s">
        <v>17</v>
      </c>
      <c r="B215">
        <v>65</v>
      </c>
      <c r="C215">
        <v>14762.3</v>
      </c>
      <c r="D215">
        <v>953.63</v>
      </c>
      <c r="E215">
        <v>720.99</v>
      </c>
      <c r="F215">
        <v>88.4696</v>
      </c>
      <c r="G215">
        <v>1.4999999999999999E-2</v>
      </c>
      <c r="H215">
        <f t="shared" si="9"/>
        <v>6.459901234902421E-2</v>
      </c>
      <c r="I215">
        <f t="shared" si="10"/>
        <v>4.8839950414230851E-2</v>
      </c>
      <c r="J215">
        <f t="shared" si="11"/>
        <v>232.64</v>
      </c>
    </row>
    <row r="216" spans="1:10" x14ac:dyDescent="0.25">
      <c r="A216" t="s">
        <v>17</v>
      </c>
      <c r="B216">
        <v>70</v>
      </c>
      <c r="C216">
        <v>14762.3</v>
      </c>
      <c r="D216">
        <v>1003.66</v>
      </c>
      <c r="E216">
        <v>759.79</v>
      </c>
      <c r="F216">
        <v>88.674300000000002</v>
      </c>
      <c r="G216">
        <v>1.4999999999999999E-2</v>
      </c>
      <c r="H216">
        <f t="shared" si="9"/>
        <v>6.7988050642515063E-2</v>
      </c>
      <c r="I216">
        <f t="shared" si="10"/>
        <v>5.1468267139944318E-2</v>
      </c>
      <c r="J216">
        <f t="shared" si="11"/>
        <v>243.87</v>
      </c>
    </row>
    <row r="217" spans="1:10" x14ac:dyDescent="0.25">
      <c r="A217" t="s">
        <v>17</v>
      </c>
      <c r="B217">
        <v>75</v>
      </c>
      <c r="C217">
        <v>14762.3</v>
      </c>
      <c r="D217">
        <v>1061.47</v>
      </c>
      <c r="E217">
        <v>803.81</v>
      </c>
      <c r="F217">
        <v>89.965900000000005</v>
      </c>
      <c r="G217">
        <v>1.72E-2</v>
      </c>
      <c r="H217">
        <f t="shared" si="9"/>
        <v>7.1904107083584537E-2</v>
      </c>
      <c r="I217">
        <f t="shared" si="10"/>
        <v>5.4450187301436768E-2</v>
      </c>
      <c r="J217">
        <f t="shared" si="11"/>
        <v>257.66000000000008</v>
      </c>
    </row>
    <row r="218" spans="1:10" x14ac:dyDescent="0.25">
      <c r="A218" t="s">
        <v>17</v>
      </c>
      <c r="B218">
        <v>80</v>
      </c>
      <c r="C218">
        <v>14762.3</v>
      </c>
      <c r="D218">
        <v>1140.4000000000001</v>
      </c>
      <c r="E218">
        <v>855.83</v>
      </c>
      <c r="F218">
        <v>89.539100000000005</v>
      </c>
      <c r="G218">
        <v>1.4999999999999999E-2</v>
      </c>
      <c r="H218">
        <f t="shared" si="9"/>
        <v>7.7250834897001158E-2</v>
      </c>
      <c r="I218">
        <f t="shared" si="10"/>
        <v>5.7974028437303135E-2</v>
      </c>
      <c r="J218">
        <f t="shared" si="11"/>
        <v>284.57000000000005</v>
      </c>
    </row>
    <row r="219" spans="1:10" x14ac:dyDescent="0.25">
      <c r="A219" t="s">
        <v>17</v>
      </c>
      <c r="B219">
        <v>85</v>
      </c>
      <c r="C219">
        <v>14762.3</v>
      </c>
      <c r="D219">
        <v>1249.95</v>
      </c>
      <c r="E219">
        <v>935.07</v>
      </c>
      <c r="F219">
        <v>89.439700000000002</v>
      </c>
      <c r="G219">
        <v>1.4999999999999999E-2</v>
      </c>
      <c r="H219">
        <f t="shared" si="9"/>
        <v>8.4671765239833913E-2</v>
      </c>
      <c r="I219">
        <f t="shared" si="10"/>
        <v>6.3341755688476734E-2</v>
      </c>
      <c r="J219">
        <f t="shared" si="11"/>
        <v>314.88</v>
      </c>
    </row>
    <row r="220" spans="1:10" x14ac:dyDescent="0.25">
      <c r="A220" t="s">
        <v>17</v>
      </c>
      <c r="B220">
        <v>90</v>
      </c>
      <c r="C220">
        <v>14762.3</v>
      </c>
      <c r="D220">
        <v>1593.93</v>
      </c>
      <c r="E220">
        <v>1201.25</v>
      </c>
      <c r="F220">
        <v>89.819699999999997</v>
      </c>
      <c r="G220">
        <v>1.7999999999999999E-2</v>
      </c>
      <c r="H220">
        <f t="shared" si="9"/>
        <v>0.1079730123354762</v>
      </c>
      <c r="I220">
        <f t="shared" si="10"/>
        <v>8.1372821308332718E-2</v>
      </c>
      <c r="J220">
        <f t="shared" si="11"/>
        <v>392.68000000000006</v>
      </c>
    </row>
    <row r="221" spans="1:10" x14ac:dyDescent="0.25">
      <c r="A221" t="s">
        <v>17</v>
      </c>
      <c r="B221">
        <v>95</v>
      </c>
      <c r="C221">
        <v>14762.3</v>
      </c>
      <c r="D221">
        <v>2207.9899999999998</v>
      </c>
      <c r="E221">
        <v>1583.61</v>
      </c>
      <c r="F221">
        <v>91.408000000000001</v>
      </c>
      <c r="G221">
        <v>0.02</v>
      </c>
      <c r="H221">
        <f t="shared" si="9"/>
        <v>0.14956951152598172</v>
      </c>
      <c r="I221">
        <f t="shared" si="10"/>
        <v>0.10727393427853384</v>
      </c>
      <c r="J221">
        <f t="shared" si="11"/>
        <v>624.37999999999988</v>
      </c>
    </row>
    <row r="222" spans="1:10" x14ac:dyDescent="0.25">
      <c r="A222" t="s">
        <v>18</v>
      </c>
      <c r="B222">
        <v>0</v>
      </c>
      <c r="C222">
        <v>14762.3</v>
      </c>
      <c r="D222">
        <v>176.36</v>
      </c>
      <c r="E222">
        <v>80.63</v>
      </c>
      <c r="F222">
        <v>83.5655</v>
      </c>
      <c r="G222">
        <v>8.9999999999999993E-3</v>
      </c>
      <c r="H222">
        <f t="shared" si="9"/>
        <v>1.1946647880072889E-2</v>
      </c>
      <c r="I222">
        <f t="shared" si="10"/>
        <v>5.4618860204710649E-3</v>
      </c>
      <c r="J222">
        <f t="shared" si="11"/>
        <v>95.730000000000018</v>
      </c>
    </row>
    <row r="223" spans="1:10" x14ac:dyDescent="0.25">
      <c r="A223" t="s">
        <v>18</v>
      </c>
      <c r="B223">
        <v>5</v>
      </c>
      <c r="C223">
        <v>14762.3</v>
      </c>
      <c r="D223">
        <v>182.23</v>
      </c>
      <c r="E223">
        <v>83.7</v>
      </c>
      <c r="F223">
        <v>83.769800000000004</v>
      </c>
      <c r="G223">
        <v>8.9999999999999993E-3</v>
      </c>
      <c r="H223">
        <f t="shared" si="9"/>
        <v>1.2344282395019746E-2</v>
      </c>
      <c r="I223">
        <f t="shared" si="10"/>
        <v>5.6698481943870541E-3</v>
      </c>
      <c r="J223">
        <f t="shared" si="11"/>
        <v>98.529999999999987</v>
      </c>
    </row>
    <row r="224" spans="1:10" x14ac:dyDescent="0.25">
      <c r="A224" t="s">
        <v>18</v>
      </c>
      <c r="B224">
        <v>10</v>
      </c>
      <c r="C224">
        <v>14762.3</v>
      </c>
      <c r="D224">
        <v>189.78</v>
      </c>
      <c r="E224">
        <v>90.95</v>
      </c>
      <c r="F224">
        <v>85.512200000000007</v>
      </c>
      <c r="G224">
        <v>9.1999999999999998E-3</v>
      </c>
      <c r="H224">
        <f t="shared" si="9"/>
        <v>1.2855720314585126E-2</v>
      </c>
      <c r="I224">
        <f t="shared" si="10"/>
        <v>6.1609640774134113E-3</v>
      </c>
      <c r="J224">
        <f t="shared" si="11"/>
        <v>98.83</v>
      </c>
    </row>
    <row r="225" spans="1:10" x14ac:dyDescent="0.25">
      <c r="A225" t="s">
        <v>18</v>
      </c>
      <c r="B225">
        <v>15</v>
      </c>
      <c r="C225">
        <v>14762.3</v>
      </c>
      <c r="D225">
        <v>202.35</v>
      </c>
      <c r="E225">
        <v>97.94</v>
      </c>
      <c r="F225">
        <v>85.896900000000002</v>
      </c>
      <c r="G225">
        <v>0.01</v>
      </c>
      <c r="H225">
        <f t="shared" si="9"/>
        <v>1.3707213645570135E-2</v>
      </c>
      <c r="I225">
        <f t="shared" si="10"/>
        <v>6.6344675287726166E-3</v>
      </c>
      <c r="J225">
        <f t="shared" si="11"/>
        <v>104.41</v>
      </c>
    </row>
    <row r="226" spans="1:10" x14ac:dyDescent="0.25">
      <c r="A226" t="s">
        <v>18</v>
      </c>
      <c r="B226">
        <v>20</v>
      </c>
      <c r="C226">
        <v>14762.3</v>
      </c>
      <c r="D226">
        <v>214.17</v>
      </c>
      <c r="E226">
        <v>107.17</v>
      </c>
      <c r="F226">
        <v>86.325199999999995</v>
      </c>
      <c r="G226">
        <v>1.0999999999999999E-2</v>
      </c>
      <c r="H226">
        <f t="shared" si="9"/>
        <v>1.450790188520759E-2</v>
      </c>
      <c r="I226">
        <f t="shared" si="10"/>
        <v>7.259708852956518E-3</v>
      </c>
      <c r="J226">
        <f t="shared" si="11"/>
        <v>106.99999999999999</v>
      </c>
    </row>
    <row r="227" spans="1:10" x14ac:dyDescent="0.25">
      <c r="A227" t="s">
        <v>18</v>
      </c>
      <c r="B227">
        <v>25</v>
      </c>
      <c r="C227">
        <v>14762.3</v>
      </c>
      <c r="D227">
        <v>231.17</v>
      </c>
      <c r="E227">
        <v>116.69</v>
      </c>
      <c r="F227">
        <v>89.334599999999995</v>
      </c>
      <c r="G227">
        <v>1.0999999999999999E-2</v>
      </c>
      <c r="H227">
        <f t="shared" si="9"/>
        <v>1.5659483955752153E-2</v>
      </c>
      <c r="I227">
        <f t="shared" si="10"/>
        <v>7.9045948124614723E-3</v>
      </c>
      <c r="J227">
        <f t="shared" si="11"/>
        <v>114.47999999999999</v>
      </c>
    </row>
    <row r="228" spans="1:10" x14ac:dyDescent="0.25">
      <c r="A228" t="s">
        <v>18</v>
      </c>
      <c r="B228">
        <v>30</v>
      </c>
      <c r="C228">
        <v>14762.3</v>
      </c>
      <c r="D228">
        <v>252.85</v>
      </c>
      <c r="E228">
        <v>136.57</v>
      </c>
      <c r="F228">
        <v>89.944199999999995</v>
      </c>
      <c r="G228">
        <v>1.0999999999999999E-2</v>
      </c>
      <c r="H228">
        <f t="shared" si="9"/>
        <v>1.7128089796305455E-2</v>
      </c>
      <c r="I228">
        <f t="shared" si="10"/>
        <v>9.2512684337806433E-3</v>
      </c>
      <c r="J228">
        <f t="shared" si="11"/>
        <v>116.28</v>
      </c>
    </row>
    <row r="229" spans="1:10" x14ac:dyDescent="0.25">
      <c r="A229" t="s">
        <v>18</v>
      </c>
      <c r="B229">
        <v>35</v>
      </c>
      <c r="C229">
        <v>14762.3</v>
      </c>
      <c r="D229">
        <v>290.70999999999998</v>
      </c>
      <c r="E229">
        <v>169.46</v>
      </c>
      <c r="F229">
        <v>90.290999999999997</v>
      </c>
      <c r="G229">
        <v>1.2E-2</v>
      </c>
      <c r="H229">
        <f t="shared" si="9"/>
        <v>1.9692730807529993E-2</v>
      </c>
      <c r="I229">
        <f t="shared" si="10"/>
        <v>1.1479241039675391E-2</v>
      </c>
      <c r="J229">
        <f t="shared" si="11"/>
        <v>121.24999999999997</v>
      </c>
    </row>
    <row r="230" spans="1:10" x14ac:dyDescent="0.25">
      <c r="A230" t="s">
        <v>18</v>
      </c>
      <c r="B230">
        <v>40</v>
      </c>
      <c r="C230">
        <v>14762.3</v>
      </c>
      <c r="D230">
        <v>302.2</v>
      </c>
      <c r="E230">
        <v>174.5</v>
      </c>
      <c r="F230">
        <v>88.083200000000005</v>
      </c>
      <c r="G230">
        <v>1.4E-2</v>
      </c>
      <c r="H230">
        <f t="shared" si="9"/>
        <v>2.0471064806974523E-2</v>
      </c>
      <c r="I230">
        <f t="shared" si="10"/>
        <v>1.1820651253530955E-2</v>
      </c>
      <c r="J230">
        <f t="shared" si="11"/>
        <v>127.69999999999999</v>
      </c>
    </row>
    <row r="231" spans="1:10" x14ac:dyDescent="0.25">
      <c r="A231" t="s">
        <v>18</v>
      </c>
      <c r="B231">
        <v>45</v>
      </c>
      <c r="C231">
        <v>14762.3</v>
      </c>
      <c r="D231">
        <v>322.67</v>
      </c>
      <c r="E231">
        <v>177.78</v>
      </c>
      <c r="F231">
        <v>87.448400000000007</v>
      </c>
      <c r="G231">
        <v>1.0999999999999999E-2</v>
      </c>
      <c r="H231">
        <f t="shared" si="9"/>
        <v>2.1857705100153772E-2</v>
      </c>
      <c r="I231">
        <f t="shared" si="10"/>
        <v>1.2042838853024259E-2</v>
      </c>
      <c r="J231">
        <f t="shared" si="11"/>
        <v>144.89000000000001</v>
      </c>
    </row>
    <row r="232" spans="1:10" x14ac:dyDescent="0.25">
      <c r="A232" t="s">
        <v>18</v>
      </c>
      <c r="B232">
        <v>50</v>
      </c>
      <c r="C232">
        <v>14762.3</v>
      </c>
      <c r="D232">
        <v>332.61</v>
      </c>
      <c r="E232">
        <v>181.53</v>
      </c>
      <c r="F232">
        <v>87.286100000000005</v>
      </c>
      <c r="G232">
        <v>0.01</v>
      </c>
      <c r="H232">
        <f t="shared" si="9"/>
        <v>2.2531041910813357E-2</v>
      </c>
      <c r="I232">
        <f t="shared" si="10"/>
        <v>1.229686430976203E-2</v>
      </c>
      <c r="J232">
        <f t="shared" si="11"/>
        <v>151.08000000000001</v>
      </c>
    </row>
    <row r="233" spans="1:10" x14ac:dyDescent="0.25">
      <c r="A233" t="s">
        <v>18</v>
      </c>
      <c r="B233">
        <v>55</v>
      </c>
      <c r="C233">
        <v>14762.3</v>
      </c>
      <c r="D233">
        <v>345.95</v>
      </c>
      <c r="E233">
        <v>197.41</v>
      </c>
      <c r="F233">
        <v>85.970100000000002</v>
      </c>
      <c r="G233">
        <v>1.18E-2</v>
      </c>
      <c r="H233">
        <f t="shared" si="9"/>
        <v>2.3434695135581853E-2</v>
      </c>
      <c r="I233">
        <f t="shared" si="10"/>
        <v>1.3372577443894244E-2</v>
      </c>
      <c r="J233">
        <f t="shared" si="11"/>
        <v>148.54</v>
      </c>
    </row>
    <row r="234" spans="1:10" x14ac:dyDescent="0.25">
      <c r="A234" t="s">
        <v>18</v>
      </c>
      <c r="B234">
        <v>60</v>
      </c>
      <c r="C234">
        <v>14762.3</v>
      </c>
      <c r="D234">
        <v>553.07000000000005</v>
      </c>
      <c r="E234">
        <v>411.47</v>
      </c>
      <c r="F234">
        <v>89.701999999999998</v>
      </c>
      <c r="G234">
        <v>1.2E-2</v>
      </c>
      <c r="H234">
        <f t="shared" si="9"/>
        <v>3.7465029162122437E-2</v>
      </c>
      <c r="I234">
        <f t="shared" si="10"/>
        <v>2.7873027915704195E-2</v>
      </c>
      <c r="J234">
        <f t="shared" si="11"/>
        <v>141.60000000000002</v>
      </c>
    </row>
    <row r="235" spans="1:10" x14ac:dyDescent="0.25">
      <c r="A235" t="s">
        <v>18</v>
      </c>
      <c r="B235">
        <v>65</v>
      </c>
      <c r="C235">
        <v>14762.3</v>
      </c>
      <c r="D235">
        <v>653.25</v>
      </c>
      <c r="E235">
        <v>496.21</v>
      </c>
      <c r="F235">
        <v>87.880099999999999</v>
      </c>
      <c r="G235">
        <v>1.2999999999999999E-2</v>
      </c>
      <c r="H235">
        <f t="shared" si="9"/>
        <v>4.4251234563719745E-2</v>
      </c>
      <c r="I235">
        <f t="shared" si="10"/>
        <v>3.3613325836759855E-2</v>
      </c>
      <c r="J235">
        <f t="shared" si="11"/>
        <v>157.04000000000002</v>
      </c>
    </row>
    <row r="236" spans="1:10" x14ac:dyDescent="0.25">
      <c r="A236" t="s">
        <v>18</v>
      </c>
      <c r="B236">
        <v>70</v>
      </c>
      <c r="C236">
        <v>14762.3</v>
      </c>
      <c r="D236">
        <v>669.86</v>
      </c>
      <c r="E236">
        <v>507.11</v>
      </c>
      <c r="F236">
        <v>90.820300000000003</v>
      </c>
      <c r="G236">
        <v>1.4E-2</v>
      </c>
      <c r="H236">
        <f t="shared" si="9"/>
        <v>4.5376397986763586E-2</v>
      </c>
      <c r="I236">
        <f t="shared" si="10"/>
        <v>3.4351693164344312E-2</v>
      </c>
      <c r="J236">
        <f t="shared" si="11"/>
        <v>162.75</v>
      </c>
    </row>
    <row r="237" spans="1:10" x14ac:dyDescent="0.25">
      <c r="A237" t="s">
        <v>18</v>
      </c>
      <c r="B237">
        <v>75</v>
      </c>
      <c r="C237">
        <v>14762.3</v>
      </c>
      <c r="D237">
        <v>694.61</v>
      </c>
      <c r="E237">
        <v>526.52</v>
      </c>
      <c r="F237">
        <v>90.258499999999998</v>
      </c>
      <c r="G237">
        <v>1.2999999999999999E-2</v>
      </c>
      <c r="H237">
        <f t="shared" si="9"/>
        <v>4.7052966001232877E-2</v>
      </c>
      <c r="I237">
        <f t="shared" si="10"/>
        <v>3.5666528928419011E-2</v>
      </c>
      <c r="J237">
        <f t="shared" si="11"/>
        <v>168.09000000000003</v>
      </c>
    </row>
    <row r="238" spans="1:10" x14ac:dyDescent="0.25">
      <c r="A238" t="s">
        <v>18</v>
      </c>
      <c r="B238">
        <v>80</v>
      </c>
      <c r="C238">
        <v>14762.3</v>
      </c>
      <c r="D238">
        <v>728.94</v>
      </c>
      <c r="E238">
        <v>547.5</v>
      </c>
      <c r="F238">
        <v>92.924499999999995</v>
      </c>
      <c r="G238">
        <v>1.43E-2</v>
      </c>
      <c r="H238">
        <f t="shared" si="9"/>
        <v>4.9378484382514923E-2</v>
      </c>
      <c r="I238">
        <f t="shared" si="10"/>
        <v>3.7087716683714599E-2</v>
      </c>
      <c r="J238">
        <f t="shared" si="11"/>
        <v>181.44000000000005</v>
      </c>
    </row>
    <row r="239" spans="1:10" x14ac:dyDescent="0.25">
      <c r="A239" t="s">
        <v>18</v>
      </c>
      <c r="B239">
        <v>85</v>
      </c>
      <c r="C239">
        <v>14762.3</v>
      </c>
      <c r="D239">
        <v>785.15</v>
      </c>
      <c r="E239">
        <v>590.63</v>
      </c>
      <c r="F239">
        <v>90.956699999999998</v>
      </c>
      <c r="G239">
        <v>1.4E-2</v>
      </c>
      <c r="H239">
        <f t="shared" si="9"/>
        <v>5.3186156628709617E-2</v>
      </c>
      <c r="I239">
        <f t="shared" si="10"/>
        <v>4.0009348136807954E-2</v>
      </c>
      <c r="J239">
        <f t="shared" si="11"/>
        <v>194.51999999999998</v>
      </c>
    </row>
    <row r="240" spans="1:10" x14ac:dyDescent="0.25">
      <c r="A240" t="s">
        <v>18</v>
      </c>
      <c r="B240">
        <v>90</v>
      </c>
      <c r="C240">
        <v>14762.3</v>
      </c>
      <c r="D240">
        <v>1029.1400000000001</v>
      </c>
      <c r="E240">
        <v>798.17</v>
      </c>
      <c r="F240">
        <v>89.386099999999999</v>
      </c>
      <c r="G240">
        <v>1.4999999999999999E-2</v>
      </c>
      <c r="H240">
        <f t="shared" si="9"/>
        <v>6.9714068945895977E-2</v>
      </c>
      <c r="I240">
        <f t="shared" si="10"/>
        <v>5.406813301450316E-2</v>
      </c>
      <c r="J240">
        <f t="shared" si="11"/>
        <v>230.97000000000014</v>
      </c>
    </row>
    <row r="241" spans="1:10" x14ac:dyDescent="0.25">
      <c r="A241" t="s">
        <v>18</v>
      </c>
      <c r="B241">
        <v>95</v>
      </c>
      <c r="C241">
        <v>14762.3</v>
      </c>
      <c r="D241">
        <v>1415.07</v>
      </c>
      <c r="E241">
        <v>1053.76</v>
      </c>
      <c r="F241">
        <v>89.785700000000006</v>
      </c>
      <c r="G241">
        <v>1.6E-2</v>
      </c>
      <c r="H241">
        <f t="shared" si="9"/>
        <v>9.585701415091144E-2</v>
      </c>
      <c r="I241">
        <f t="shared" si="10"/>
        <v>7.138183074453168E-2</v>
      </c>
      <c r="J241">
        <f t="shared" si="11"/>
        <v>361.30999999999995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3872-E278-4990-8A9C-225265A24C5F}">
  <dimension ref="A1:AO281"/>
  <sheetViews>
    <sheetView tabSelected="1" zoomScale="55" zoomScaleNormal="55" workbookViewId="0">
      <selection activeCell="H2" sqref="H2"/>
    </sheetView>
  </sheetViews>
  <sheetFormatPr defaultRowHeight="15" x14ac:dyDescent="0.25"/>
  <cols>
    <col min="8" max="8" width="19.28515625" customWidth="1"/>
    <col min="9" max="9" width="20.425781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  <c r="AL1" t="s">
        <v>7</v>
      </c>
      <c r="AM1" t="s">
        <v>8</v>
      </c>
      <c r="AN1" t="str">
        <f>A82</f>
        <v>WildFriday</v>
      </c>
      <c r="AO1" t="s">
        <v>7</v>
      </c>
    </row>
    <row r="2" spans="1:41" x14ac:dyDescent="0.25">
      <c r="A2" t="s">
        <v>7</v>
      </c>
      <c r="B2">
        <v>0</v>
      </c>
      <c r="C2">
        <v>4175.13</v>
      </c>
      <c r="D2">
        <v>74.61</v>
      </c>
      <c r="E2">
        <v>66.97</v>
      </c>
      <c r="F2">
        <v>5.0050999999999997</v>
      </c>
      <c r="G2">
        <v>7.0000000000000001E-3</v>
      </c>
      <c r="H2">
        <f>D2/C2</f>
        <v>1.7870102248313226E-2</v>
      </c>
      <c r="I2">
        <f>E2/C2</f>
        <v>1.6040219106949964E-2</v>
      </c>
      <c r="J2">
        <f>D2-E2</f>
        <v>7.6400000000000006</v>
      </c>
      <c r="AL2">
        <f>D2-'Run 1 (Ty)'!D2</f>
        <v>-68.839999999999989</v>
      </c>
      <c r="AM2">
        <f>D22-'Run 1 (Alex)'!D107</f>
        <v>-6.3899999999999988</v>
      </c>
      <c r="AN2">
        <f>D62-'Run 1 (Alex)'!D296</f>
        <v>-19.66</v>
      </c>
      <c r="AO2">
        <f>E2-'Run 1 (Alex)'!E191</f>
        <v>4.8399999999999963</v>
      </c>
    </row>
    <row r="3" spans="1:41" x14ac:dyDescent="0.25">
      <c r="A3" t="s">
        <v>7</v>
      </c>
      <c r="B3">
        <v>5</v>
      </c>
      <c r="C3">
        <v>4175.13</v>
      </c>
      <c r="D3">
        <v>79.97</v>
      </c>
      <c r="E3">
        <v>71.66</v>
      </c>
      <c r="F3">
        <v>4.9889000000000001</v>
      </c>
      <c r="G3">
        <v>7.0000000000000001E-3</v>
      </c>
      <c r="H3">
        <f t="shared" ref="H3:H66" si="0">D3/C3</f>
        <v>1.915389460926965E-2</v>
      </c>
      <c r="I3">
        <f t="shared" ref="I3:I66" si="1">E3/C3</f>
        <v>1.7163537422786833E-2</v>
      </c>
      <c r="J3">
        <f t="shared" ref="J3:J66" si="2">D3-E3</f>
        <v>8.3100000000000023</v>
      </c>
      <c r="AL3">
        <f>D3-'Run 1 (Ty)'!D3</f>
        <v>-69.5</v>
      </c>
      <c r="AM3">
        <f>D23-'Run 1 (Alex)'!D108</f>
        <v>-6.49</v>
      </c>
      <c r="AN3">
        <f>D63-'Run 1 (Alex)'!D297</f>
        <v>-22.540000000000003</v>
      </c>
      <c r="AO3">
        <f>E3-'Run 1 (Alex)'!E192</f>
        <v>9.2899999999999991</v>
      </c>
    </row>
    <row r="4" spans="1:41" x14ac:dyDescent="0.25">
      <c r="A4" t="s">
        <v>7</v>
      </c>
      <c r="B4">
        <v>10</v>
      </c>
      <c r="C4">
        <v>4175.13</v>
      </c>
      <c r="D4">
        <v>94.4</v>
      </c>
      <c r="E4">
        <v>84.86</v>
      </c>
      <c r="F4">
        <v>5.0964</v>
      </c>
      <c r="G4">
        <v>8.0000000000000002E-3</v>
      </c>
      <c r="H4">
        <f t="shared" si="0"/>
        <v>2.2610074416844508E-2</v>
      </c>
      <c r="I4">
        <f t="shared" si="1"/>
        <v>2.032511562514221E-2</v>
      </c>
      <c r="J4">
        <f t="shared" si="2"/>
        <v>9.5400000000000063</v>
      </c>
      <c r="AL4">
        <f>D4-'Run 1 (Ty)'!D4</f>
        <v>-71.789999999999992</v>
      </c>
      <c r="AM4">
        <f>D24-'Run 1 (Alex)'!D109</f>
        <v>-6.6</v>
      </c>
      <c r="AN4">
        <f>D64-'Run 1 (Alex)'!D298</f>
        <v>-28.55</v>
      </c>
      <c r="AO4">
        <f>E4-'Run 1 (Alex)'!E193</f>
        <v>20.760000000000005</v>
      </c>
    </row>
    <row r="5" spans="1:41" x14ac:dyDescent="0.25">
      <c r="A5" t="s">
        <v>7</v>
      </c>
      <c r="B5">
        <v>15</v>
      </c>
      <c r="C5">
        <v>4175.13</v>
      </c>
      <c r="D5">
        <v>109.45</v>
      </c>
      <c r="E5">
        <v>98.95</v>
      </c>
      <c r="F5">
        <v>5.4250999999999996</v>
      </c>
      <c r="G5">
        <v>8.0000000000000002E-3</v>
      </c>
      <c r="H5">
        <f t="shared" si="0"/>
        <v>2.6214752594529992E-2</v>
      </c>
      <c r="I5">
        <f t="shared" si="1"/>
        <v>2.3699860842656396E-2</v>
      </c>
      <c r="J5">
        <f t="shared" si="2"/>
        <v>10.5</v>
      </c>
      <c r="AL5">
        <f>D5-'Run 1 (Ty)'!D5</f>
        <v>-74.209999999999994</v>
      </c>
      <c r="AM5">
        <f>D25-'Run 1 (Alex)'!D110</f>
        <v>-6.82</v>
      </c>
      <c r="AN5">
        <f>D65-'Run 1 (Alex)'!D299</f>
        <v>-34.980000000000004</v>
      </c>
      <c r="AO5">
        <f>E5-'Run 1 (Alex)'!E194</f>
        <v>33.08</v>
      </c>
    </row>
    <row r="6" spans="1:41" x14ac:dyDescent="0.25">
      <c r="A6" t="s">
        <v>7</v>
      </c>
      <c r="B6">
        <v>20</v>
      </c>
      <c r="C6">
        <v>4175.13</v>
      </c>
      <c r="D6">
        <v>124.43</v>
      </c>
      <c r="E6">
        <v>112.86</v>
      </c>
      <c r="F6">
        <v>5.3978000000000002</v>
      </c>
      <c r="G6">
        <v>8.0000000000000002E-3</v>
      </c>
      <c r="H6">
        <f t="shared" si="0"/>
        <v>2.9802664827202986E-2</v>
      </c>
      <c r="I6">
        <f t="shared" si="1"/>
        <v>2.7031493630138462E-2</v>
      </c>
      <c r="J6">
        <f t="shared" si="2"/>
        <v>11.570000000000007</v>
      </c>
      <c r="AL6">
        <f>D6-'Run 1 (Ty)'!D6</f>
        <v>-76.579999999999984</v>
      </c>
      <c r="AM6">
        <f>D26-'Run 1 (Alex)'!D111</f>
        <v>-6.9500000000000028</v>
      </c>
      <c r="AN6">
        <f>D66-'Run 1 (Alex)'!D300</f>
        <v>-42.39</v>
      </c>
      <c r="AO6">
        <f>E6-'Run 1 (Alex)'!E195</f>
        <v>44.959999999999994</v>
      </c>
    </row>
    <row r="7" spans="1:41" x14ac:dyDescent="0.25">
      <c r="A7" t="s">
        <v>7</v>
      </c>
      <c r="B7">
        <v>25</v>
      </c>
      <c r="C7">
        <v>4175.13</v>
      </c>
      <c r="D7">
        <v>139.16999999999999</v>
      </c>
      <c r="E7">
        <v>126.68</v>
      </c>
      <c r="F7">
        <v>5.431</v>
      </c>
      <c r="G7">
        <v>8.0000000000000002E-3</v>
      </c>
      <c r="H7">
        <f t="shared" si="0"/>
        <v>3.3333093819833154E-2</v>
      </c>
      <c r="I7">
        <f t="shared" si="1"/>
        <v>3.034157020260447E-2</v>
      </c>
      <c r="J7">
        <f t="shared" si="2"/>
        <v>12.489999999999981</v>
      </c>
      <c r="AL7">
        <f>D7-'Run 1 (Ty)'!D7</f>
        <v>-79.360000000000014</v>
      </c>
      <c r="AM7">
        <f>D27-'Run 1 (Alex)'!D112</f>
        <v>-6.990000000000002</v>
      </c>
      <c r="AN7">
        <f>D67-'Run 1 (Alex)'!D301</f>
        <v>-50.63</v>
      </c>
      <c r="AO7">
        <f>E7-'Run 1 (Alex)'!E196</f>
        <v>56.89</v>
      </c>
    </row>
    <row r="8" spans="1:41" x14ac:dyDescent="0.25">
      <c r="A8" t="s">
        <v>7</v>
      </c>
      <c r="B8">
        <v>30</v>
      </c>
      <c r="C8">
        <v>4175.13</v>
      </c>
      <c r="D8">
        <v>153.31</v>
      </c>
      <c r="E8">
        <v>140.09</v>
      </c>
      <c r="F8">
        <v>5.5503</v>
      </c>
      <c r="G8">
        <v>8.9999999999999993E-3</v>
      </c>
      <c r="H8">
        <f t="shared" si="0"/>
        <v>3.6719814712356261E-2</v>
      </c>
      <c r="I8">
        <f t="shared" si="1"/>
        <v>3.3553446239997314E-2</v>
      </c>
      <c r="J8">
        <f t="shared" si="2"/>
        <v>13.219999999999999</v>
      </c>
      <c r="AL8">
        <f>D8-'Run 1 (Ty)'!D8</f>
        <v>-82.18</v>
      </c>
      <c r="AM8">
        <f>D28-'Run 1 (Alex)'!D113</f>
        <v>-7.269999999999996</v>
      </c>
      <c r="AN8">
        <f>D68-'Run 1 (Alex)'!D302</f>
        <v>-58.75</v>
      </c>
      <c r="AO8">
        <f>E8-'Run 1 (Alex)'!E197</f>
        <v>67.8</v>
      </c>
    </row>
    <row r="9" spans="1:41" x14ac:dyDescent="0.25">
      <c r="A9" t="s">
        <v>7</v>
      </c>
      <c r="B9">
        <v>35</v>
      </c>
      <c r="C9">
        <v>4175.13</v>
      </c>
      <c r="D9">
        <v>166.98</v>
      </c>
      <c r="E9">
        <v>153.22999999999999</v>
      </c>
      <c r="F9">
        <v>5.5876999999999999</v>
      </c>
      <c r="G9">
        <v>8.9999999999999993E-3</v>
      </c>
      <c r="H9">
        <f t="shared" si="0"/>
        <v>3.9993964259795498E-2</v>
      </c>
      <c r="I9">
        <f t="shared" si="1"/>
        <v>3.6700653632341984E-2</v>
      </c>
      <c r="J9">
        <f t="shared" si="2"/>
        <v>13.75</v>
      </c>
      <c r="AL9">
        <f>D9-'Run 1 (Ty)'!D9</f>
        <v>-85.09</v>
      </c>
      <c r="AM9">
        <f>D29-'Run 1 (Alex)'!D114</f>
        <v>-7.4600000000000009</v>
      </c>
      <c r="AN9">
        <f>D69-'Run 1 (Alex)'!D303</f>
        <v>-65.649999999999991</v>
      </c>
      <c r="AO9">
        <f>E9-'Run 1 (Alex)'!E198</f>
        <v>78.639999999999986</v>
      </c>
    </row>
    <row r="10" spans="1:41" x14ac:dyDescent="0.25">
      <c r="A10" t="s">
        <v>7</v>
      </c>
      <c r="B10">
        <v>40</v>
      </c>
      <c r="C10">
        <v>4175.13</v>
      </c>
      <c r="D10">
        <v>178.84</v>
      </c>
      <c r="E10">
        <v>164.24</v>
      </c>
      <c r="F10">
        <v>5.6307999999999998</v>
      </c>
      <c r="G10">
        <v>8.0000000000000002E-3</v>
      </c>
      <c r="H10">
        <f t="shared" si="0"/>
        <v>4.2834594371911776E-2</v>
      </c>
      <c r="I10">
        <f t="shared" si="1"/>
        <v>3.9337697269306589E-2</v>
      </c>
      <c r="J10">
        <f t="shared" si="2"/>
        <v>14.599999999999994</v>
      </c>
      <c r="AL10">
        <f>D10-'Run 1 (Ty)'!D10</f>
        <v>-87.789999999999992</v>
      </c>
      <c r="AM10">
        <f>D30-'Run 1 (Alex)'!D115</f>
        <v>-7.6400000000000006</v>
      </c>
      <c r="AN10">
        <f>D70-'Run 1 (Alex)'!D304</f>
        <v>-73.889999999999986</v>
      </c>
      <c r="AO10">
        <f>E10-'Run 1 (Alex)'!E199</f>
        <v>87.79</v>
      </c>
    </row>
    <row r="11" spans="1:41" x14ac:dyDescent="0.25">
      <c r="A11" t="s">
        <v>7</v>
      </c>
      <c r="B11">
        <v>45</v>
      </c>
      <c r="C11">
        <v>4175.13</v>
      </c>
      <c r="D11">
        <v>193.3</v>
      </c>
      <c r="E11">
        <v>177.65</v>
      </c>
      <c r="F11">
        <v>5.7638999999999996</v>
      </c>
      <c r="G11">
        <v>8.9999999999999993E-3</v>
      </c>
      <c r="H11">
        <f t="shared" si="0"/>
        <v>4.6297959584491982E-2</v>
      </c>
      <c r="I11">
        <f t="shared" si="1"/>
        <v>4.254957330669943E-2</v>
      </c>
      <c r="J11">
        <f t="shared" si="2"/>
        <v>15.650000000000006</v>
      </c>
      <c r="AL11">
        <f>D11-'Run 1 (Ty)'!D11</f>
        <v>-91.449999999999989</v>
      </c>
      <c r="AM11">
        <f>D31-'Run 1 (Alex)'!D116</f>
        <v>-7.8400000000000034</v>
      </c>
      <c r="AN11">
        <f>D71-'Run 1 (Alex)'!D305</f>
        <v>-84.110000000000014</v>
      </c>
      <c r="AO11">
        <f>E11-'Run 1 (Alex)'!E200</f>
        <v>99.050000000000011</v>
      </c>
    </row>
    <row r="12" spans="1:41" x14ac:dyDescent="0.25">
      <c r="A12" t="s">
        <v>7</v>
      </c>
      <c r="B12">
        <v>50</v>
      </c>
      <c r="C12">
        <v>4175.13</v>
      </c>
      <c r="D12">
        <v>205.3</v>
      </c>
      <c r="E12">
        <v>189.21</v>
      </c>
      <c r="F12">
        <v>5.8063000000000002</v>
      </c>
      <c r="G12">
        <v>8.0000000000000002E-3</v>
      </c>
      <c r="H12">
        <f t="shared" si="0"/>
        <v>4.9172121586633234E-2</v>
      </c>
      <c r="I12">
        <f t="shared" si="1"/>
        <v>4.5318349368762174E-2</v>
      </c>
      <c r="J12">
        <f t="shared" si="2"/>
        <v>16.090000000000003</v>
      </c>
      <c r="AL12">
        <f>D12-'Run 1 (Ty)'!D12</f>
        <v>-94.240000000000009</v>
      </c>
      <c r="AM12">
        <f>D32-'Run 1 (Alex)'!D117</f>
        <v>-8.1300000000000026</v>
      </c>
      <c r="AN12">
        <f>D72-'Run 1 (Alex)'!D306</f>
        <v>-92.76</v>
      </c>
      <c r="AO12">
        <f>E12-'Run 1 (Alex)'!E201</f>
        <v>108.27000000000001</v>
      </c>
    </row>
    <row r="13" spans="1:41" x14ac:dyDescent="0.25">
      <c r="A13" t="s">
        <v>7</v>
      </c>
      <c r="B13">
        <v>55</v>
      </c>
      <c r="C13">
        <v>4175.13</v>
      </c>
      <c r="D13">
        <v>218.25</v>
      </c>
      <c r="E13">
        <v>201.62</v>
      </c>
      <c r="F13">
        <v>5.8784999999999998</v>
      </c>
      <c r="G13">
        <v>8.9999999999999993E-3</v>
      </c>
      <c r="H13">
        <f t="shared" si="0"/>
        <v>5.2273821413943995E-2</v>
      </c>
      <c r="I13">
        <f t="shared" si="1"/>
        <v>4.8290711905976579E-2</v>
      </c>
      <c r="J13">
        <f t="shared" si="2"/>
        <v>16.629999999999995</v>
      </c>
      <c r="AL13">
        <f>D13-'Run 1 (Ty)'!D13</f>
        <v>-97.45999999999998</v>
      </c>
      <c r="AM13">
        <f>D33-'Run 1 (Alex)'!D118</f>
        <v>-8.2600000000000051</v>
      </c>
      <c r="AN13">
        <f>D73-'Run 1 (Alex)'!D307</f>
        <v>-101.81</v>
      </c>
      <c r="AO13">
        <f>E13-'Run 1 (Alex)'!E202</f>
        <v>118.36</v>
      </c>
    </row>
    <row r="14" spans="1:41" x14ac:dyDescent="0.25">
      <c r="A14" t="s">
        <v>7</v>
      </c>
      <c r="B14">
        <v>60</v>
      </c>
      <c r="C14">
        <v>4175.13</v>
      </c>
      <c r="D14">
        <v>234.78</v>
      </c>
      <c r="E14">
        <v>217.51</v>
      </c>
      <c r="F14">
        <v>5.9813000000000001</v>
      </c>
      <c r="G14">
        <v>8.9999999999999993E-3</v>
      </c>
      <c r="H14">
        <f t="shared" si="0"/>
        <v>5.623297957189357E-2</v>
      </c>
      <c r="I14">
        <f t="shared" si="1"/>
        <v>5.2096581423811947E-2</v>
      </c>
      <c r="J14">
        <f t="shared" si="2"/>
        <v>17.27000000000001</v>
      </c>
      <c r="AL14">
        <f>D14-'Run 1 (Ty)'!D14</f>
        <v>-101.27000000000001</v>
      </c>
      <c r="AM14">
        <f>D34-'Run 1 (Alex)'!D119</f>
        <v>-8.6200000000000045</v>
      </c>
      <c r="AN14">
        <f>D74-'Run 1 (Alex)'!D308</f>
        <v>-107.01000000000002</v>
      </c>
      <c r="AO14">
        <f>E14-'Run 1 (Alex)'!E203</f>
        <v>131.32999999999998</v>
      </c>
    </row>
    <row r="15" spans="1:41" x14ac:dyDescent="0.25">
      <c r="A15" t="s">
        <v>7</v>
      </c>
      <c r="B15">
        <v>65</v>
      </c>
      <c r="C15">
        <v>4175.13</v>
      </c>
      <c r="D15">
        <v>258</v>
      </c>
      <c r="E15">
        <v>238.59</v>
      </c>
      <c r="F15">
        <v>6.0518999999999998</v>
      </c>
      <c r="G15">
        <v>8.9999999999999993E-3</v>
      </c>
      <c r="H15">
        <f t="shared" si="0"/>
        <v>6.1794483046036887E-2</v>
      </c>
      <c r="I15">
        <f t="shared" si="1"/>
        <v>5.7145526007573416E-2</v>
      </c>
      <c r="J15">
        <f t="shared" si="2"/>
        <v>19.409999999999997</v>
      </c>
      <c r="AL15">
        <f>D15-'Run 1 (Ty)'!D15</f>
        <v>-107.98000000000002</v>
      </c>
      <c r="AM15">
        <f>D35-'Run 1 (Alex)'!D120</f>
        <v>-9.2100000000000009</v>
      </c>
      <c r="AN15">
        <f>D75-'Run 1 (Alex)'!D309</f>
        <v>-118.47999999999999</v>
      </c>
      <c r="AO15">
        <f>E15-'Run 1 (Alex)'!E204</f>
        <v>148.63</v>
      </c>
    </row>
    <row r="16" spans="1:41" x14ac:dyDescent="0.25">
      <c r="A16" t="s">
        <v>7</v>
      </c>
      <c r="B16">
        <v>70</v>
      </c>
      <c r="C16">
        <v>4175.13</v>
      </c>
      <c r="D16">
        <v>285.07</v>
      </c>
      <c r="E16">
        <v>265.04000000000002</v>
      </c>
      <c r="F16">
        <v>6.1664000000000003</v>
      </c>
      <c r="G16">
        <v>8.9999999999999993E-3</v>
      </c>
      <c r="H16">
        <f t="shared" si="0"/>
        <v>6.8278113495867196E-2</v>
      </c>
      <c r="I16">
        <f t="shared" si="1"/>
        <v>6.3480658087293099E-2</v>
      </c>
      <c r="J16">
        <f t="shared" si="2"/>
        <v>20.029999999999973</v>
      </c>
      <c r="AL16">
        <f>D16-'Run 1 (Ty)'!D16</f>
        <v>-114.79000000000002</v>
      </c>
      <c r="AM16">
        <f>D36-'Run 1 (Alex)'!D121</f>
        <v>-9.89</v>
      </c>
      <c r="AN16">
        <f>D76-'Run 1 (Alex)'!D310</f>
        <v>-139.19</v>
      </c>
      <c r="AO16">
        <f>E16-'Run 1 (Alex)'!E205</f>
        <v>169.88000000000002</v>
      </c>
    </row>
    <row r="17" spans="1:41" x14ac:dyDescent="0.25">
      <c r="A17" t="s">
        <v>7</v>
      </c>
      <c r="B17">
        <v>75</v>
      </c>
      <c r="C17">
        <v>4175.13</v>
      </c>
      <c r="D17">
        <v>317.8</v>
      </c>
      <c r="E17">
        <v>296.27999999999997</v>
      </c>
      <c r="F17">
        <v>6.3181000000000003</v>
      </c>
      <c r="G17">
        <v>8.9999999999999993E-3</v>
      </c>
      <c r="H17">
        <f t="shared" si="0"/>
        <v>7.6117390356707462E-2</v>
      </c>
      <c r="I17">
        <f t="shared" si="1"/>
        <v>7.0963059832867464E-2</v>
      </c>
      <c r="J17">
        <f t="shared" si="2"/>
        <v>21.520000000000039</v>
      </c>
      <c r="AL17">
        <f>D17-'Run 1 (Ty)'!D17</f>
        <v>-124.53999999999996</v>
      </c>
      <c r="AM17">
        <f>D37-'Run 1 (Alex)'!D122</f>
        <v>-10.599999999999994</v>
      </c>
      <c r="AN17">
        <f>D77-'Run 1 (Alex)'!D311</f>
        <v>-164.21</v>
      </c>
      <c r="AO17">
        <f>E17-'Run 1 (Alex)'!E206</f>
        <v>193.76999999999998</v>
      </c>
    </row>
    <row r="18" spans="1:41" x14ac:dyDescent="0.25">
      <c r="A18" t="s">
        <v>7</v>
      </c>
      <c r="B18">
        <v>80</v>
      </c>
      <c r="C18">
        <v>4175.13</v>
      </c>
      <c r="D18">
        <v>372.19</v>
      </c>
      <c r="E18">
        <v>348.38</v>
      </c>
      <c r="F18">
        <v>6.6096000000000004</v>
      </c>
      <c r="G18">
        <v>0.01</v>
      </c>
      <c r="H18">
        <f t="shared" si="0"/>
        <v>8.9144529631412672E-2</v>
      </c>
      <c r="I18">
        <f t="shared" si="1"/>
        <v>8.3441713192164077E-2</v>
      </c>
      <c r="J18">
        <f t="shared" si="2"/>
        <v>23.810000000000002</v>
      </c>
      <c r="AL18">
        <f>D18-'Run 1 (Ty)'!D18</f>
        <v>-140.01000000000005</v>
      </c>
      <c r="AM18">
        <f>D38-'Run 1 (Alex)'!D123</f>
        <v>-11.829999999999998</v>
      </c>
      <c r="AN18">
        <f>D78-'Run 1 (Alex)'!D312</f>
        <v>-205.67000000000002</v>
      </c>
      <c r="AO18">
        <f>E18-'Run 1 (Alex)'!E207</f>
        <v>232.94</v>
      </c>
    </row>
    <row r="19" spans="1:41" x14ac:dyDescent="0.25">
      <c r="A19" t="s">
        <v>7</v>
      </c>
      <c r="B19">
        <v>85</v>
      </c>
      <c r="C19">
        <v>4175.13</v>
      </c>
      <c r="D19">
        <v>449.55</v>
      </c>
      <c r="E19">
        <v>423.46</v>
      </c>
      <c r="F19">
        <v>6.9878999999999998</v>
      </c>
      <c r="G19">
        <v>0.01</v>
      </c>
      <c r="H19">
        <f t="shared" si="0"/>
        <v>0.10767329400521661</v>
      </c>
      <c r="I19">
        <f t="shared" si="1"/>
        <v>0.10142438678556116</v>
      </c>
      <c r="J19">
        <f t="shared" si="2"/>
        <v>26.090000000000032</v>
      </c>
      <c r="AL19">
        <f>D19-'Run 1 (Ty)'!D19</f>
        <v>-162.44999999999999</v>
      </c>
      <c r="AM19">
        <f>D39-'Run 1 (Alex)'!D124</f>
        <v>-13.689999999999998</v>
      </c>
      <c r="AN19">
        <f>D79-'Run 1 (Alex)'!D313</f>
        <v>-266.18999999999994</v>
      </c>
      <c r="AO19">
        <f>E19-'Run 1 (Alex)'!E208</f>
        <v>289.05999999999995</v>
      </c>
    </row>
    <row r="20" spans="1:41" x14ac:dyDescent="0.25">
      <c r="A20" t="s">
        <v>7</v>
      </c>
      <c r="B20">
        <v>90</v>
      </c>
      <c r="C20">
        <v>4175.13</v>
      </c>
      <c r="D20">
        <v>594.48</v>
      </c>
      <c r="E20">
        <v>558.6</v>
      </c>
      <c r="F20">
        <v>7.5930999999999997</v>
      </c>
      <c r="G20">
        <v>1.2E-2</v>
      </c>
      <c r="H20">
        <f t="shared" si="0"/>
        <v>0.14238598558607757</v>
      </c>
      <c r="I20">
        <f t="shared" si="1"/>
        <v>0.13379224119967523</v>
      </c>
      <c r="J20">
        <f t="shared" si="2"/>
        <v>35.879999999999995</v>
      </c>
      <c r="AL20">
        <f>D20-'Run 1 (Ty)'!D20</f>
        <v>-210.75</v>
      </c>
      <c r="AM20">
        <f>D40-'Run 1 (Alex)'!D125</f>
        <v>-17.920000000000002</v>
      </c>
      <c r="AN20">
        <f>D80-'Run 1 (Alex)'!D314</f>
        <v>-363.57</v>
      </c>
      <c r="AO20">
        <f>E20-'Run 1 (Alex)'!E209</f>
        <v>384.77</v>
      </c>
    </row>
    <row r="21" spans="1:41" x14ac:dyDescent="0.25">
      <c r="A21" t="s">
        <v>7</v>
      </c>
      <c r="B21">
        <v>95</v>
      </c>
      <c r="C21">
        <v>4175.13</v>
      </c>
      <c r="D21">
        <v>917.14</v>
      </c>
      <c r="E21">
        <v>858.23</v>
      </c>
      <c r="F21">
        <v>8.8771000000000004</v>
      </c>
      <c r="G21">
        <v>1.2999999999999999E-2</v>
      </c>
      <c r="H21">
        <f t="shared" si="0"/>
        <v>0.21966741155365221</v>
      </c>
      <c r="I21">
        <f t="shared" si="1"/>
        <v>0.20555767125814045</v>
      </c>
      <c r="J21">
        <f t="shared" si="2"/>
        <v>58.909999999999968</v>
      </c>
      <c r="AL21">
        <f>D21-'Run 1 (Ty)'!D21</f>
        <v>-336.28000000000009</v>
      </c>
      <c r="AM21">
        <f>D41-'Run 1 (Alex)'!D126</f>
        <v>-29.27000000000001</v>
      </c>
      <c r="AN21">
        <f>D81-'Run 1 (Alex)'!D315</f>
        <v>-570.53</v>
      </c>
      <c r="AO21">
        <f>E21-'Run 1 (Alex)'!E210</f>
        <v>578.08000000000004</v>
      </c>
    </row>
    <row r="22" spans="1:41" x14ac:dyDescent="0.25">
      <c r="A22" t="s">
        <v>8</v>
      </c>
      <c r="B22">
        <v>0</v>
      </c>
      <c r="C22">
        <v>398.17</v>
      </c>
      <c r="D22">
        <v>8.31</v>
      </c>
      <c r="E22">
        <v>7.5</v>
      </c>
      <c r="F22">
        <v>0.48809999999999998</v>
      </c>
      <c r="G22">
        <v>1E-3</v>
      </c>
      <c r="H22">
        <f t="shared" si="0"/>
        <v>2.0870482457241882E-2</v>
      </c>
      <c r="I22">
        <f t="shared" si="1"/>
        <v>1.8836175502925885E-2</v>
      </c>
      <c r="J22">
        <f t="shared" si="2"/>
        <v>0.8100000000000005</v>
      </c>
    </row>
    <row r="23" spans="1:41" x14ac:dyDescent="0.25">
      <c r="A23" t="s">
        <v>8</v>
      </c>
      <c r="B23">
        <v>5</v>
      </c>
      <c r="C23">
        <v>398.17</v>
      </c>
      <c r="D23">
        <v>9.69</v>
      </c>
      <c r="E23">
        <v>8.7899999999999991</v>
      </c>
      <c r="F23">
        <v>0.50309999999999999</v>
      </c>
      <c r="G23">
        <v>1E-3</v>
      </c>
      <c r="H23">
        <f t="shared" si="0"/>
        <v>2.4336338749780244E-2</v>
      </c>
      <c r="I23">
        <f t="shared" si="1"/>
        <v>2.2075997689429135E-2</v>
      </c>
      <c r="J23">
        <f t="shared" si="2"/>
        <v>0.90000000000000036</v>
      </c>
    </row>
    <row r="24" spans="1:41" x14ac:dyDescent="0.25">
      <c r="A24" t="s">
        <v>8</v>
      </c>
      <c r="B24">
        <v>10</v>
      </c>
      <c r="C24">
        <v>398.17</v>
      </c>
      <c r="D24">
        <v>14.1</v>
      </c>
      <c r="E24">
        <v>12.67</v>
      </c>
      <c r="F24">
        <v>0.54510000000000003</v>
      </c>
      <c r="G24">
        <v>1E-3</v>
      </c>
      <c r="H24">
        <f t="shared" si="0"/>
        <v>3.5412009945500665E-2</v>
      </c>
      <c r="I24">
        <f t="shared" si="1"/>
        <v>3.1820579149609458E-2</v>
      </c>
      <c r="J24">
        <f t="shared" si="2"/>
        <v>1.4299999999999997</v>
      </c>
    </row>
    <row r="25" spans="1:41" x14ac:dyDescent="0.25">
      <c r="A25" t="s">
        <v>8</v>
      </c>
      <c r="B25">
        <v>15</v>
      </c>
      <c r="C25">
        <v>398.17</v>
      </c>
      <c r="D25">
        <v>17.96</v>
      </c>
      <c r="E25">
        <v>16.41</v>
      </c>
      <c r="F25">
        <v>0.54410000000000003</v>
      </c>
      <c r="G25">
        <v>1E-3</v>
      </c>
      <c r="H25">
        <f t="shared" si="0"/>
        <v>4.5106361604339854E-2</v>
      </c>
      <c r="I25">
        <f t="shared" si="1"/>
        <v>4.1213552000401839E-2</v>
      </c>
      <c r="J25">
        <f t="shared" si="2"/>
        <v>1.5500000000000007</v>
      </c>
    </row>
    <row r="26" spans="1:41" x14ac:dyDescent="0.25">
      <c r="A26" t="s">
        <v>8</v>
      </c>
      <c r="B26">
        <v>20</v>
      </c>
      <c r="C26">
        <v>398.17</v>
      </c>
      <c r="D26">
        <v>21.81</v>
      </c>
      <c r="E26">
        <v>19.899999999999999</v>
      </c>
      <c r="F26">
        <v>0.5796</v>
      </c>
      <c r="G26">
        <v>1E-3</v>
      </c>
      <c r="H26">
        <f t="shared" si="0"/>
        <v>5.4775598362508469E-2</v>
      </c>
      <c r="I26">
        <f t="shared" si="1"/>
        <v>4.997865233443001E-2</v>
      </c>
      <c r="J26">
        <f t="shared" si="2"/>
        <v>1.9100000000000001</v>
      </c>
    </row>
    <row r="27" spans="1:41" x14ac:dyDescent="0.25">
      <c r="A27" t="s">
        <v>8</v>
      </c>
      <c r="B27">
        <v>25</v>
      </c>
      <c r="C27">
        <v>398.17</v>
      </c>
      <c r="D27">
        <v>25.36</v>
      </c>
      <c r="E27">
        <v>23.1</v>
      </c>
      <c r="F27">
        <v>0.59509999999999996</v>
      </c>
      <c r="G27">
        <v>2E-3</v>
      </c>
      <c r="H27">
        <f t="shared" si="0"/>
        <v>6.3691388100560062E-2</v>
      </c>
      <c r="I27">
        <f t="shared" si="1"/>
        <v>5.801542054901173E-2</v>
      </c>
      <c r="J27">
        <f t="shared" si="2"/>
        <v>2.259999999999998</v>
      </c>
    </row>
    <row r="28" spans="1:41" x14ac:dyDescent="0.25">
      <c r="A28" t="s">
        <v>8</v>
      </c>
      <c r="B28">
        <v>30</v>
      </c>
      <c r="C28">
        <v>398.17</v>
      </c>
      <c r="D28">
        <v>28.39</v>
      </c>
      <c r="E28">
        <v>25.94</v>
      </c>
      <c r="F28">
        <v>0.61860000000000004</v>
      </c>
      <c r="G28">
        <v>1E-3</v>
      </c>
      <c r="H28">
        <f t="shared" si="0"/>
        <v>7.1301203003742125E-2</v>
      </c>
      <c r="I28">
        <f t="shared" si="1"/>
        <v>6.5148052339452991E-2</v>
      </c>
      <c r="J28">
        <f t="shared" si="2"/>
        <v>2.4499999999999993</v>
      </c>
    </row>
    <row r="29" spans="1:41" x14ac:dyDescent="0.25">
      <c r="A29" t="s">
        <v>8</v>
      </c>
      <c r="B29">
        <v>35</v>
      </c>
      <c r="C29">
        <v>398.17</v>
      </c>
      <c r="D29">
        <v>31.28</v>
      </c>
      <c r="E29">
        <v>28.79</v>
      </c>
      <c r="F29">
        <v>0.61399999999999999</v>
      </c>
      <c r="G29">
        <v>2E-3</v>
      </c>
      <c r="H29">
        <f t="shared" si="0"/>
        <v>7.8559409297536228E-2</v>
      </c>
      <c r="I29">
        <f t="shared" si="1"/>
        <v>7.2305799030564832E-2</v>
      </c>
      <c r="J29">
        <f t="shared" si="2"/>
        <v>2.490000000000002</v>
      </c>
    </row>
    <row r="30" spans="1:41" x14ac:dyDescent="0.25">
      <c r="A30" t="s">
        <v>8</v>
      </c>
      <c r="B30">
        <v>40</v>
      </c>
      <c r="C30">
        <v>398.17</v>
      </c>
      <c r="D30">
        <v>33.619999999999997</v>
      </c>
      <c r="E30">
        <v>30.99</v>
      </c>
      <c r="F30">
        <v>0.62209999999999999</v>
      </c>
      <c r="G30">
        <v>1E-3</v>
      </c>
      <c r="H30">
        <f t="shared" si="0"/>
        <v>8.4436296054449092E-2</v>
      </c>
      <c r="I30">
        <f t="shared" si="1"/>
        <v>7.783107717808975E-2</v>
      </c>
      <c r="J30">
        <f t="shared" si="2"/>
        <v>2.629999999999999</v>
      </c>
    </row>
    <row r="31" spans="1:41" x14ac:dyDescent="0.25">
      <c r="A31" t="s">
        <v>8</v>
      </c>
      <c r="B31">
        <v>45</v>
      </c>
      <c r="C31">
        <v>398.17</v>
      </c>
      <c r="D31">
        <v>36.369999999999997</v>
      </c>
      <c r="E31">
        <v>33.57</v>
      </c>
      <c r="F31">
        <v>0.63680000000000003</v>
      </c>
      <c r="G31">
        <v>2E-3</v>
      </c>
      <c r="H31">
        <f t="shared" si="0"/>
        <v>9.1342893738855249E-2</v>
      </c>
      <c r="I31">
        <f t="shared" si="1"/>
        <v>8.4310721551096257E-2</v>
      </c>
      <c r="J31">
        <f t="shared" si="2"/>
        <v>2.7999999999999972</v>
      </c>
    </row>
    <row r="32" spans="1:41" x14ac:dyDescent="0.25">
      <c r="A32" t="s">
        <v>8</v>
      </c>
      <c r="B32">
        <v>50</v>
      </c>
      <c r="C32">
        <v>398.17</v>
      </c>
      <c r="D32">
        <v>38.79</v>
      </c>
      <c r="E32">
        <v>35.74</v>
      </c>
      <c r="F32">
        <v>0.64900000000000002</v>
      </c>
      <c r="G32">
        <v>1E-3</v>
      </c>
      <c r="H32">
        <f t="shared" si="0"/>
        <v>9.7420699701132679E-2</v>
      </c>
      <c r="I32">
        <f t="shared" si="1"/>
        <v>8.9760654996609485E-2</v>
      </c>
      <c r="J32">
        <f t="shared" si="2"/>
        <v>3.0499999999999972</v>
      </c>
    </row>
    <row r="33" spans="1:10" x14ac:dyDescent="0.25">
      <c r="A33" t="s">
        <v>8</v>
      </c>
      <c r="B33">
        <v>55</v>
      </c>
      <c r="C33">
        <v>398.17</v>
      </c>
      <c r="D33">
        <v>41.16</v>
      </c>
      <c r="E33">
        <v>38.06</v>
      </c>
      <c r="F33">
        <v>0.65920000000000001</v>
      </c>
      <c r="G33">
        <v>1E-3</v>
      </c>
      <c r="H33">
        <f t="shared" si="0"/>
        <v>0.10337293116005725</v>
      </c>
      <c r="I33">
        <f t="shared" si="1"/>
        <v>9.5587311952181231E-2</v>
      </c>
      <c r="J33">
        <f t="shared" si="2"/>
        <v>3.0999999999999943</v>
      </c>
    </row>
    <row r="34" spans="1:10" x14ac:dyDescent="0.25">
      <c r="A34" t="s">
        <v>8</v>
      </c>
      <c r="B34">
        <v>60</v>
      </c>
      <c r="C34">
        <v>398.17</v>
      </c>
      <c r="D34">
        <v>44.19</v>
      </c>
      <c r="E34">
        <v>41.02</v>
      </c>
      <c r="F34">
        <v>0.66920000000000002</v>
      </c>
      <c r="G34">
        <v>1E-3</v>
      </c>
      <c r="H34">
        <f t="shared" si="0"/>
        <v>0.11098274606323931</v>
      </c>
      <c r="I34">
        <f t="shared" si="1"/>
        <v>0.10302132255066931</v>
      </c>
      <c r="J34">
        <f t="shared" si="2"/>
        <v>3.1699999999999946</v>
      </c>
    </row>
    <row r="35" spans="1:10" x14ac:dyDescent="0.25">
      <c r="A35" t="s">
        <v>8</v>
      </c>
      <c r="B35">
        <v>65</v>
      </c>
      <c r="C35">
        <v>398.17</v>
      </c>
      <c r="D35">
        <v>47.96</v>
      </c>
      <c r="E35">
        <v>44.51</v>
      </c>
      <c r="F35">
        <v>0.70420000000000005</v>
      </c>
      <c r="G35">
        <v>1E-3</v>
      </c>
      <c r="H35">
        <f t="shared" si="0"/>
        <v>0.12045106361604339</v>
      </c>
      <c r="I35">
        <f t="shared" si="1"/>
        <v>0.11178642288469748</v>
      </c>
      <c r="J35">
        <f t="shared" si="2"/>
        <v>3.4500000000000028</v>
      </c>
    </row>
    <row r="36" spans="1:10" x14ac:dyDescent="0.25">
      <c r="A36" t="s">
        <v>8</v>
      </c>
      <c r="B36">
        <v>70</v>
      </c>
      <c r="C36">
        <v>398.17</v>
      </c>
      <c r="D36">
        <v>52.17</v>
      </c>
      <c r="E36">
        <v>48.73</v>
      </c>
      <c r="F36">
        <v>0.71419999999999995</v>
      </c>
      <c r="G36">
        <v>1E-3</v>
      </c>
      <c r="H36">
        <f t="shared" si="0"/>
        <v>0.13102443679835246</v>
      </c>
      <c r="I36">
        <f t="shared" si="1"/>
        <v>0.1223849109676771</v>
      </c>
      <c r="J36">
        <f t="shared" si="2"/>
        <v>3.4400000000000048</v>
      </c>
    </row>
    <row r="37" spans="1:10" x14ac:dyDescent="0.25">
      <c r="A37" t="s">
        <v>8</v>
      </c>
      <c r="B37">
        <v>75</v>
      </c>
      <c r="C37">
        <v>398.17</v>
      </c>
      <c r="D37">
        <v>57.11</v>
      </c>
      <c r="E37">
        <v>53.46</v>
      </c>
      <c r="F37">
        <v>0.74</v>
      </c>
      <c r="G37">
        <v>1E-3</v>
      </c>
      <c r="H37">
        <f t="shared" si="0"/>
        <v>0.14343119772961296</v>
      </c>
      <c r="I37">
        <f t="shared" si="1"/>
        <v>0.13426425898485572</v>
      </c>
      <c r="J37">
        <f t="shared" si="2"/>
        <v>3.6499999999999986</v>
      </c>
    </row>
    <row r="38" spans="1:10" x14ac:dyDescent="0.25">
      <c r="A38" t="s">
        <v>8</v>
      </c>
      <c r="B38">
        <v>80</v>
      </c>
      <c r="C38">
        <v>398.17</v>
      </c>
      <c r="D38">
        <v>64.75</v>
      </c>
      <c r="E38">
        <v>60.85</v>
      </c>
      <c r="F38">
        <v>0.76519999999999999</v>
      </c>
      <c r="G38">
        <v>2E-3</v>
      </c>
      <c r="H38">
        <f t="shared" si="0"/>
        <v>0.1626189818419268</v>
      </c>
      <c r="I38">
        <f t="shared" si="1"/>
        <v>0.15282417058040534</v>
      </c>
      <c r="J38">
        <f t="shared" si="2"/>
        <v>3.8999999999999986</v>
      </c>
    </row>
    <row r="39" spans="1:10" x14ac:dyDescent="0.25">
      <c r="A39" t="s">
        <v>8</v>
      </c>
      <c r="B39">
        <v>85</v>
      </c>
      <c r="C39">
        <v>398.17</v>
      </c>
      <c r="D39">
        <v>75.040000000000006</v>
      </c>
      <c r="E39">
        <v>70.930000000000007</v>
      </c>
      <c r="F39">
        <v>0.80620000000000003</v>
      </c>
      <c r="G39">
        <v>2E-3</v>
      </c>
      <c r="H39">
        <f t="shared" si="0"/>
        <v>0.18846221463194113</v>
      </c>
      <c r="I39">
        <f t="shared" si="1"/>
        <v>0.17813999045633774</v>
      </c>
      <c r="J39">
        <f t="shared" si="2"/>
        <v>4.1099999999999994</v>
      </c>
    </row>
    <row r="40" spans="1:10" x14ac:dyDescent="0.25">
      <c r="A40" t="s">
        <v>8</v>
      </c>
      <c r="B40">
        <v>90</v>
      </c>
      <c r="C40">
        <v>398.17</v>
      </c>
      <c r="D40">
        <v>92.33</v>
      </c>
      <c r="E40">
        <v>87.36</v>
      </c>
      <c r="F40">
        <v>0.8972</v>
      </c>
      <c r="G40">
        <v>2E-3</v>
      </c>
      <c r="H40">
        <f t="shared" si="0"/>
        <v>0.23188587789135293</v>
      </c>
      <c r="I40">
        <f t="shared" si="1"/>
        <v>0.21940377225808072</v>
      </c>
      <c r="J40">
        <f t="shared" si="2"/>
        <v>4.9699999999999989</v>
      </c>
    </row>
    <row r="41" spans="1:10" x14ac:dyDescent="0.25">
      <c r="A41" t="s">
        <v>8</v>
      </c>
      <c r="B41">
        <v>95</v>
      </c>
      <c r="C41">
        <v>398.17</v>
      </c>
      <c r="D41">
        <v>127.82</v>
      </c>
      <c r="E41">
        <v>120.82</v>
      </c>
      <c r="F41">
        <v>0.98219999999999996</v>
      </c>
      <c r="G41">
        <v>2E-3</v>
      </c>
      <c r="H41">
        <f t="shared" si="0"/>
        <v>0.32101866037119819</v>
      </c>
      <c r="I41">
        <f t="shared" si="1"/>
        <v>0.30343822990180069</v>
      </c>
      <c r="J41">
        <f t="shared" si="2"/>
        <v>7</v>
      </c>
    </row>
    <row r="42" spans="1:10" x14ac:dyDescent="0.25">
      <c r="A42" t="s">
        <v>16</v>
      </c>
      <c r="B42">
        <v>0</v>
      </c>
      <c r="C42">
        <v>51.7</v>
      </c>
      <c r="D42">
        <v>16.78</v>
      </c>
      <c r="E42">
        <v>15.44</v>
      </c>
      <c r="F42">
        <v>0.84850000000000003</v>
      </c>
      <c r="G42">
        <v>2E-3</v>
      </c>
      <c r="H42">
        <f t="shared" si="0"/>
        <v>0.32456479690522244</v>
      </c>
      <c r="I42">
        <f t="shared" si="1"/>
        <v>0.29864603481624757</v>
      </c>
      <c r="J42">
        <f t="shared" si="2"/>
        <v>1.3400000000000016</v>
      </c>
    </row>
    <row r="43" spans="1:10" x14ac:dyDescent="0.25">
      <c r="A43" t="s">
        <v>16</v>
      </c>
      <c r="B43">
        <v>5</v>
      </c>
      <c r="C43">
        <v>51.7</v>
      </c>
      <c r="D43">
        <v>19.13</v>
      </c>
      <c r="E43">
        <v>17.399999999999999</v>
      </c>
      <c r="F43">
        <v>0.86919999999999997</v>
      </c>
      <c r="G43">
        <v>1E-3</v>
      </c>
      <c r="H43">
        <f t="shared" si="0"/>
        <v>0.37001934235976786</v>
      </c>
      <c r="I43">
        <f t="shared" si="1"/>
        <v>0.33655705996131524</v>
      </c>
      <c r="J43">
        <f t="shared" si="2"/>
        <v>1.7300000000000004</v>
      </c>
    </row>
    <row r="44" spans="1:10" x14ac:dyDescent="0.25">
      <c r="A44" t="s">
        <v>16</v>
      </c>
      <c r="B44">
        <v>10</v>
      </c>
      <c r="C44">
        <v>51.7</v>
      </c>
      <c r="D44">
        <v>23.11</v>
      </c>
      <c r="E44">
        <v>21.06</v>
      </c>
      <c r="F44">
        <v>0.88519999999999999</v>
      </c>
      <c r="G44">
        <v>2E-3</v>
      </c>
      <c r="H44">
        <f t="shared" si="0"/>
        <v>0.44700193423597673</v>
      </c>
      <c r="I44">
        <f t="shared" si="1"/>
        <v>0.40735009671179878</v>
      </c>
      <c r="J44">
        <f t="shared" si="2"/>
        <v>2.0500000000000007</v>
      </c>
    </row>
    <row r="45" spans="1:10" x14ac:dyDescent="0.25">
      <c r="A45" t="s">
        <v>16</v>
      </c>
      <c r="B45">
        <v>15</v>
      </c>
      <c r="C45">
        <v>51.7</v>
      </c>
      <c r="D45">
        <v>26.86</v>
      </c>
      <c r="E45">
        <v>24.22</v>
      </c>
      <c r="F45">
        <v>0.8952</v>
      </c>
      <c r="G45">
        <v>2E-3</v>
      </c>
      <c r="H45">
        <f t="shared" si="0"/>
        <v>0.5195357833655706</v>
      </c>
      <c r="I45">
        <f t="shared" si="1"/>
        <v>0.46847195357833649</v>
      </c>
      <c r="J45">
        <f t="shared" si="2"/>
        <v>2.6400000000000006</v>
      </c>
    </row>
    <row r="46" spans="1:10" x14ac:dyDescent="0.25">
      <c r="A46" t="s">
        <v>16</v>
      </c>
      <c r="B46">
        <v>20</v>
      </c>
      <c r="C46">
        <v>51.7</v>
      </c>
      <c r="D46">
        <v>29.71</v>
      </c>
      <c r="E46">
        <v>26.84</v>
      </c>
      <c r="F46">
        <v>0.90259999999999996</v>
      </c>
      <c r="G46">
        <v>1E-3</v>
      </c>
      <c r="H46">
        <f t="shared" si="0"/>
        <v>0.57466150870406185</v>
      </c>
      <c r="I46">
        <f t="shared" si="1"/>
        <v>0.51914893617021274</v>
      </c>
      <c r="J46">
        <f t="shared" si="2"/>
        <v>2.870000000000001</v>
      </c>
    </row>
    <row r="47" spans="1:10" x14ac:dyDescent="0.25">
      <c r="A47" t="s">
        <v>16</v>
      </c>
      <c r="B47">
        <v>25</v>
      </c>
      <c r="C47">
        <v>51.7</v>
      </c>
      <c r="D47">
        <v>32.67</v>
      </c>
      <c r="E47">
        <v>29.41</v>
      </c>
      <c r="F47">
        <v>0.92969999999999997</v>
      </c>
      <c r="G47">
        <v>2E-3</v>
      </c>
      <c r="H47">
        <f t="shared" si="0"/>
        <v>0.63191489361702124</v>
      </c>
      <c r="I47">
        <f t="shared" si="1"/>
        <v>0.56885880077369433</v>
      </c>
      <c r="J47">
        <f t="shared" si="2"/>
        <v>3.2600000000000016</v>
      </c>
    </row>
    <row r="48" spans="1:10" x14ac:dyDescent="0.25">
      <c r="A48" t="s">
        <v>16</v>
      </c>
      <c r="B48">
        <v>30</v>
      </c>
      <c r="C48">
        <v>51.7</v>
      </c>
      <c r="D48">
        <v>35.159999999999997</v>
      </c>
      <c r="E48">
        <v>31.93</v>
      </c>
      <c r="F48">
        <v>0.94689999999999996</v>
      </c>
      <c r="G48">
        <v>2E-3</v>
      </c>
      <c r="H48">
        <f t="shared" si="0"/>
        <v>0.68007736943907149</v>
      </c>
      <c r="I48">
        <f t="shared" si="1"/>
        <v>0.61760154738878137</v>
      </c>
      <c r="J48">
        <f t="shared" si="2"/>
        <v>3.2299999999999969</v>
      </c>
    </row>
    <row r="49" spans="1:10" x14ac:dyDescent="0.25">
      <c r="A49" t="s">
        <v>16</v>
      </c>
      <c r="B49">
        <v>35</v>
      </c>
      <c r="C49">
        <v>51.7</v>
      </c>
      <c r="D49">
        <v>36.979999999999997</v>
      </c>
      <c r="E49">
        <v>33.74</v>
      </c>
      <c r="F49">
        <v>0.95489999999999997</v>
      </c>
      <c r="G49">
        <v>2E-3</v>
      </c>
      <c r="H49">
        <f t="shared" si="0"/>
        <v>0.71528046421663438</v>
      </c>
      <c r="I49">
        <f t="shared" si="1"/>
        <v>0.65261121856866533</v>
      </c>
      <c r="J49">
        <f t="shared" si="2"/>
        <v>3.2399999999999949</v>
      </c>
    </row>
    <row r="50" spans="1:10" x14ac:dyDescent="0.25">
      <c r="A50" t="s">
        <v>16</v>
      </c>
      <c r="B50">
        <v>40</v>
      </c>
      <c r="C50">
        <v>51.7</v>
      </c>
      <c r="D50">
        <v>38.74</v>
      </c>
      <c r="E50">
        <v>35.28</v>
      </c>
      <c r="F50">
        <v>0.93379999999999996</v>
      </c>
      <c r="G50">
        <v>2.3999999999999998E-3</v>
      </c>
      <c r="H50">
        <f t="shared" si="0"/>
        <v>0.74932301740812379</v>
      </c>
      <c r="I50">
        <f t="shared" si="1"/>
        <v>0.68239845261121856</v>
      </c>
      <c r="J50">
        <f t="shared" si="2"/>
        <v>3.4600000000000009</v>
      </c>
    </row>
    <row r="51" spans="1:10" x14ac:dyDescent="0.25">
      <c r="A51" t="s">
        <v>16</v>
      </c>
      <c r="B51">
        <v>45</v>
      </c>
      <c r="C51">
        <v>51.7</v>
      </c>
      <c r="D51">
        <v>40.21</v>
      </c>
      <c r="E51">
        <v>36.89</v>
      </c>
      <c r="F51">
        <v>0.96709999999999996</v>
      </c>
      <c r="G51">
        <v>1.6000000000000001E-3</v>
      </c>
      <c r="H51">
        <f t="shared" si="0"/>
        <v>0.7777562862669245</v>
      </c>
      <c r="I51">
        <f t="shared" si="1"/>
        <v>0.7135396518375241</v>
      </c>
      <c r="J51">
        <f t="shared" si="2"/>
        <v>3.3200000000000003</v>
      </c>
    </row>
    <row r="52" spans="1:10" x14ac:dyDescent="0.25">
      <c r="A52" t="s">
        <v>16</v>
      </c>
      <c r="B52">
        <v>50</v>
      </c>
      <c r="C52">
        <v>51.7</v>
      </c>
      <c r="D52">
        <v>41.73</v>
      </c>
      <c r="E52">
        <v>38.369999999999997</v>
      </c>
      <c r="F52">
        <v>0.96220000000000006</v>
      </c>
      <c r="G52">
        <v>2E-3</v>
      </c>
      <c r="H52">
        <f t="shared" si="0"/>
        <v>0.80715667311411987</v>
      </c>
      <c r="I52">
        <f t="shared" si="1"/>
        <v>0.74216634429400374</v>
      </c>
      <c r="J52">
        <f t="shared" si="2"/>
        <v>3.3599999999999994</v>
      </c>
    </row>
    <row r="53" spans="1:10" x14ac:dyDescent="0.25">
      <c r="A53" t="s">
        <v>16</v>
      </c>
      <c r="B53">
        <v>55</v>
      </c>
      <c r="C53">
        <v>51.7</v>
      </c>
      <c r="D53">
        <v>43.42</v>
      </c>
      <c r="E53">
        <v>40.159999999999997</v>
      </c>
      <c r="F53">
        <v>0.98599999999999999</v>
      </c>
      <c r="G53">
        <v>2E-3</v>
      </c>
      <c r="H53">
        <f t="shared" si="0"/>
        <v>0.83984526112185687</v>
      </c>
      <c r="I53">
        <f t="shared" si="1"/>
        <v>0.77678916827852984</v>
      </c>
      <c r="J53">
        <f t="shared" si="2"/>
        <v>3.2600000000000051</v>
      </c>
    </row>
    <row r="54" spans="1:10" x14ac:dyDescent="0.25">
      <c r="A54" t="s">
        <v>16</v>
      </c>
      <c r="B54">
        <v>60</v>
      </c>
      <c r="C54">
        <v>51.7</v>
      </c>
      <c r="D54">
        <v>45.57</v>
      </c>
      <c r="E54">
        <v>42.19</v>
      </c>
      <c r="F54">
        <v>0.96719999999999995</v>
      </c>
      <c r="G54">
        <v>4.0000000000000001E-3</v>
      </c>
      <c r="H54">
        <f t="shared" si="0"/>
        <v>0.88143133462282397</v>
      </c>
      <c r="I54">
        <f t="shared" si="1"/>
        <v>0.81605415860734998</v>
      </c>
      <c r="J54">
        <f t="shared" si="2"/>
        <v>3.3800000000000026</v>
      </c>
    </row>
    <row r="55" spans="1:10" x14ac:dyDescent="0.25">
      <c r="A55" t="s">
        <v>16</v>
      </c>
      <c r="B55">
        <v>65</v>
      </c>
      <c r="C55">
        <v>51.7</v>
      </c>
      <c r="D55">
        <v>48.02</v>
      </c>
      <c r="E55">
        <v>44.55</v>
      </c>
      <c r="F55">
        <v>0.97619999999999996</v>
      </c>
      <c r="G55">
        <v>2E-3</v>
      </c>
      <c r="H55">
        <f t="shared" si="0"/>
        <v>0.9288201160541586</v>
      </c>
      <c r="I55">
        <f t="shared" si="1"/>
        <v>0.86170212765957432</v>
      </c>
      <c r="J55">
        <f t="shared" si="2"/>
        <v>3.470000000000006</v>
      </c>
    </row>
    <row r="56" spans="1:10" x14ac:dyDescent="0.25">
      <c r="A56" t="s">
        <v>16</v>
      </c>
      <c r="B56">
        <v>70</v>
      </c>
      <c r="C56">
        <v>51.7</v>
      </c>
      <c r="D56">
        <v>51.14</v>
      </c>
      <c r="E56">
        <v>47.72</v>
      </c>
      <c r="F56">
        <v>0.97319999999999995</v>
      </c>
      <c r="G56">
        <v>2E-3</v>
      </c>
      <c r="H56">
        <f t="shared" si="0"/>
        <v>0.98916827852998057</v>
      </c>
      <c r="I56">
        <f t="shared" si="1"/>
        <v>0.92301740812379107</v>
      </c>
      <c r="J56">
        <f t="shared" si="2"/>
        <v>3.4200000000000017</v>
      </c>
    </row>
    <row r="57" spans="1:10" x14ac:dyDescent="0.25">
      <c r="A57" t="s">
        <v>16</v>
      </c>
      <c r="B57">
        <v>75</v>
      </c>
      <c r="C57">
        <v>51.7</v>
      </c>
      <c r="D57">
        <v>54.47</v>
      </c>
      <c r="E57">
        <v>50.85</v>
      </c>
      <c r="F57">
        <v>1.0152000000000001</v>
      </c>
      <c r="G57">
        <v>2.3999999999999998E-3</v>
      </c>
      <c r="H57">
        <f t="shared" si="0"/>
        <v>1.0535783365570599</v>
      </c>
      <c r="I57">
        <f t="shared" si="1"/>
        <v>0.98355899419729209</v>
      </c>
      <c r="J57">
        <f t="shared" si="2"/>
        <v>3.6199999999999974</v>
      </c>
    </row>
    <row r="58" spans="1:10" x14ac:dyDescent="0.25">
      <c r="A58" t="s">
        <v>16</v>
      </c>
      <c r="B58">
        <v>80</v>
      </c>
      <c r="C58">
        <v>51.7</v>
      </c>
      <c r="D58">
        <v>58.16</v>
      </c>
      <c r="E58">
        <v>54.43</v>
      </c>
      <c r="F58">
        <v>0.99429999999999996</v>
      </c>
      <c r="G58">
        <v>3.0000000000000001E-3</v>
      </c>
      <c r="H58">
        <f t="shared" si="0"/>
        <v>1.1249516441005802</v>
      </c>
      <c r="I58">
        <f t="shared" si="1"/>
        <v>1.0528046421663442</v>
      </c>
      <c r="J58">
        <f t="shared" si="2"/>
        <v>3.7299999999999969</v>
      </c>
    </row>
    <row r="59" spans="1:10" x14ac:dyDescent="0.25">
      <c r="A59" t="s">
        <v>16</v>
      </c>
      <c r="B59">
        <v>85</v>
      </c>
      <c r="C59">
        <v>51.7</v>
      </c>
      <c r="D59">
        <v>62.83</v>
      </c>
      <c r="E59">
        <v>58.84</v>
      </c>
      <c r="F59">
        <v>1.0142</v>
      </c>
      <c r="G59">
        <v>2.2000000000000001E-3</v>
      </c>
      <c r="H59">
        <f t="shared" si="0"/>
        <v>1.2152804642166344</v>
      </c>
      <c r="I59">
        <f t="shared" si="1"/>
        <v>1.1381044487427465</v>
      </c>
      <c r="J59">
        <f t="shared" si="2"/>
        <v>3.9899999999999949</v>
      </c>
    </row>
    <row r="60" spans="1:10" x14ac:dyDescent="0.25">
      <c r="A60" t="s">
        <v>16</v>
      </c>
      <c r="B60">
        <v>90</v>
      </c>
      <c r="C60">
        <v>51.7</v>
      </c>
      <c r="D60">
        <v>72.63</v>
      </c>
      <c r="E60">
        <v>67.650000000000006</v>
      </c>
      <c r="F60">
        <v>1.0113000000000001</v>
      </c>
      <c r="G60">
        <v>2E-3</v>
      </c>
      <c r="H60">
        <f t="shared" si="0"/>
        <v>1.4048355899419727</v>
      </c>
      <c r="I60">
        <f t="shared" si="1"/>
        <v>1.3085106382978724</v>
      </c>
      <c r="J60">
        <f t="shared" si="2"/>
        <v>4.9799999999999898</v>
      </c>
    </row>
    <row r="61" spans="1:10" x14ac:dyDescent="0.25">
      <c r="A61" t="s">
        <v>16</v>
      </c>
      <c r="B61">
        <v>95</v>
      </c>
      <c r="C61">
        <v>51.7</v>
      </c>
      <c r="D61">
        <v>90.27</v>
      </c>
      <c r="E61">
        <v>83.53</v>
      </c>
      <c r="F61">
        <v>1.0708</v>
      </c>
      <c r="G61">
        <v>3.0000000000000001E-3</v>
      </c>
      <c r="H61">
        <f t="shared" si="0"/>
        <v>1.7460348162475821</v>
      </c>
      <c r="I61">
        <f t="shared" si="1"/>
        <v>1.6156673114119922</v>
      </c>
      <c r="J61">
        <f t="shared" si="2"/>
        <v>6.7399999999999949</v>
      </c>
    </row>
    <row r="62" spans="1:10" x14ac:dyDescent="0.25">
      <c r="A62" t="s">
        <v>9</v>
      </c>
      <c r="B62">
        <v>0</v>
      </c>
      <c r="C62">
        <v>95.64</v>
      </c>
      <c r="D62">
        <v>13.95</v>
      </c>
      <c r="E62">
        <v>12.46</v>
      </c>
      <c r="F62">
        <v>0.87519999999999998</v>
      </c>
      <c r="G62">
        <v>1.6999999999999999E-3</v>
      </c>
      <c r="H62">
        <f t="shared" si="0"/>
        <v>0.14585947302383939</v>
      </c>
      <c r="I62">
        <f t="shared" si="1"/>
        <v>0.13028021748222501</v>
      </c>
      <c r="J62">
        <f t="shared" si="2"/>
        <v>1.4899999999999984</v>
      </c>
    </row>
    <row r="63" spans="1:10" x14ac:dyDescent="0.25">
      <c r="A63" t="s">
        <v>9</v>
      </c>
      <c r="B63">
        <v>5</v>
      </c>
      <c r="C63">
        <v>95.64</v>
      </c>
      <c r="D63">
        <v>16.7</v>
      </c>
      <c r="E63">
        <v>14.52</v>
      </c>
      <c r="F63">
        <v>0.9052</v>
      </c>
      <c r="G63">
        <v>2E-3</v>
      </c>
      <c r="H63">
        <f t="shared" si="0"/>
        <v>0.17461313258051023</v>
      </c>
      <c r="I63">
        <f t="shared" si="1"/>
        <v>0.15181932245922208</v>
      </c>
      <c r="J63">
        <f t="shared" si="2"/>
        <v>2.1799999999999997</v>
      </c>
    </row>
    <row r="64" spans="1:10" x14ac:dyDescent="0.25">
      <c r="A64" t="s">
        <v>9</v>
      </c>
      <c r="B64">
        <v>10</v>
      </c>
      <c r="C64">
        <v>95.64</v>
      </c>
      <c r="D64">
        <v>22.3</v>
      </c>
      <c r="E64">
        <v>19.36</v>
      </c>
      <c r="F64">
        <v>0.9224</v>
      </c>
      <c r="G64">
        <v>1.6999999999999999E-3</v>
      </c>
      <c r="H64">
        <f t="shared" si="0"/>
        <v>0.23316603931409452</v>
      </c>
      <c r="I64">
        <f t="shared" si="1"/>
        <v>0.20242576327896278</v>
      </c>
      <c r="J64">
        <f t="shared" si="2"/>
        <v>2.9400000000000013</v>
      </c>
    </row>
    <row r="65" spans="1:10" x14ac:dyDescent="0.25">
      <c r="A65" t="s">
        <v>9</v>
      </c>
      <c r="B65">
        <v>15</v>
      </c>
      <c r="C65">
        <v>95.64</v>
      </c>
      <c r="D65">
        <v>26.87</v>
      </c>
      <c r="E65">
        <v>23.2</v>
      </c>
      <c r="F65">
        <v>0.98419999999999996</v>
      </c>
      <c r="G65">
        <v>2.3E-3</v>
      </c>
      <c r="H65">
        <f t="shared" si="0"/>
        <v>0.28094939355918025</v>
      </c>
      <c r="I65">
        <f t="shared" si="1"/>
        <v>0.2425763278962777</v>
      </c>
      <c r="J65">
        <f t="shared" si="2"/>
        <v>3.6700000000000017</v>
      </c>
    </row>
    <row r="66" spans="1:10" x14ac:dyDescent="0.25">
      <c r="A66" t="s">
        <v>9</v>
      </c>
      <c r="B66">
        <v>20</v>
      </c>
      <c r="C66">
        <v>95.64</v>
      </c>
      <c r="D66">
        <v>31.39</v>
      </c>
      <c r="E66">
        <v>27.03</v>
      </c>
      <c r="F66">
        <v>0.99470000000000003</v>
      </c>
      <c r="G66">
        <v>2E-3</v>
      </c>
      <c r="H66">
        <f t="shared" si="0"/>
        <v>0.32820995399414471</v>
      </c>
      <c r="I66">
        <f t="shared" si="1"/>
        <v>0.28262233375156837</v>
      </c>
      <c r="J66">
        <f t="shared" si="2"/>
        <v>4.3599999999999994</v>
      </c>
    </row>
    <row r="67" spans="1:10" x14ac:dyDescent="0.25">
      <c r="A67" t="s">
        <v>9</v>
      </c>
      <c r="B67">
        <v>25</v>
      </c>
      <c r="C67">
        <v>95.64</v>
      </c>
      <c r="D67">
        <v>35.229999999999997</v>
      </c>
      <c r="E67">
        <v>30.16</v>
      </c>
      <c r="F67">
        <v>1.0192000000000001</v>
      </c>
      <c r="G67">
        <v>2E-3</v>
      </c>
      <c r="H67">
        <f t="shared" ref="H67:H130" si="3">D67/C67</f>
        <v>0.36836051861145963</v>
      </c>
      <c r="I67">
        <f t="shared" ref="I67:I130" si="4">E67/C67</f>
        <v>0.31534922626516104</v>
      </c>
      <c r="J67">
        <f t="shared" ref="J67:J130" si="5">D67-E67</f>
        <v>5.0699999999999967</v>
      </c>
    </row>
    <row r="68" spans="1:10" x14ac:dyDescent="0.25">
      <c r="A68" t="s">
        <v>9</v>
      </c>
      <c r="B68">
        <v>30</v>
      </c>
      <c r="C68">
        <v>95.64</v>
      </c>
      <c r="D68">
        <v>38.81</v>
      </c>
      <c r="E68">
        <v>33.47</v>
      </c>
      <c r="F68">
        <v>1.0237000000000001</v>
      </c>
      <c r="G68">
        <v>3.0000000000000001E-3</v>
      </c>
      <c r="H68">
        <f t="shared" si="3"/>
        <v>0.4057925554161439</v>
      </c>
      <c r="I68">
        <f t="shared" si="4"/>
        <v>0.34995817649519029</v>
      </c>
      <c r="J68">
        <f t="shared" si="5"/>
        <v>5.3400000000000034</v>
      </c>
    </row>
    <row r="69" spans="1:10" x14ac:dyDescent="0.25">
      <c r="A69" t="s">
        <v>9</v>
      </c>
      <c r="B69">
        <v>35</v>
      </c>
      <c r="C69">
        <v>95.64</v>
      </c>
      <c r="D69">
        <v>43.7</v>
      </c>
      <c r="E69">
        <v>37.68</v>
      </c>
      <c r="F69">
        <v>1.0611999999999999</v>
      </c>
      <c r="G69">
        <v>2.0999999999999999E-3</v>
      </c>
      <c r="H69">
        <f t="shared" si="3"/>
        <v>0.45692179004600586</v>
      </c>
      <c r="I69">
        <f t="shared" si="4"/>
        <v>0.39397741530740277</v>
      </c>
      <c r="J69">
        <f t="shared" si="5"/>
        <v>6.0200000000000031</v>
      </c>
    </row>
    <row r="70" spans="1:10" x14ac:dyDescent="0.25">
      <c r="A70" t="s">
        <v>9</v>
      </c>
      <c r="B70">
        <v>40</v>
      </c>
      <c r="C70">
        <v>95.64</v>
      </c>
      <c r="D70">
        <v>45.6</v>
      </c>
      <c r="E70">
        <v>39.11</v>
      </c>
      <c r="F70">
        <v>1.0582</v>
      </c>
      <c r="G70">
        <v>2E-3</v>
      </c>
      <c r="H70">
        <f t="shared" si="3"/>
        <v>0.47678795483061481</v>
      </c>
      <c r="I70">
        <f t="shared" si="4"/>
        <v>0.40892931827687157</v>
      </c>
      <c r="J70">
        <f t="shared" si="5"/>
        <v>6.490000000000002</v>
      </c>
    </row>
    <row r="71" spans="1:10" x14ac:dyDescent="0.25">
      <c r="A71" t="s">
        <v>9</v>
      </c>
      <c r="B71">
        <v>45</v>
      </c>
      <c r="C71">
        <v>95.64</v>
      </c>
      <c r="D71">
        <v>47.44</v>
      </c>
      <c r="E71">
        <v>40.619999999999997</v>
      </c>
      <c r="F71">
        <v>1.0971</v>
      </c>
      <c r="G71">
        <v>1E-3</v>
      </c>
      <c r="H71">
        <f t="shared" si="3"/>
        <v>0.49602676704307819</v>
      </c>
      <c r="I71">
        <f t="shared" si="4"/>
        <v>0.42471769134253445</v>
      </c>
      <c r="J71">
        <f t="shared" si="5"/>
        <v>6.82</v>
      </c>
    </row>
    <row r="72" spans="1:10" x14ac:dyDescent="0.25">
      <c r="A72" t="s">
        <v>9</v>
      </c>
      <c r="B72">
        <v>50</v>
      </c>
      <c r="C72">
        <v>95.64</v>
      </c>
      <c r="D72">
        <v>49.3</v>
      </c>
      <c r="E72">
        <v>42.18</v>
      </c>
      <c r="F72">
        <v>1.0728</v>
      </c>
      <c r="G72">
        <v>3.0000000000000001E-3</v>
      </c>
      <c r="H72">
        <f t="shared" si="3"/>
        <v>0.51547469677959012</v>
      </c>
      <c r="I72">
        <f t="shared" si="4"/>
        <v>0.44102885821831866</v>
      </c>
      <c r="J72">
        <f t="shared" si="5"/>
        <v>7.1199999999999974</v>
      </c>
    </row>
    <row r="73" spans="1:10" x14ac:dyDescent="0.25">
      <c r="A73" t="s">
        <v>9</v>
      </c>
      <c r="B73">
        <v>55</v>
      </c>
      <c r="C73">
        <v>95.64</v>
      </c>
      <c r="D73">
        <v>51.52</v>
      </c>
      <c r="E73">
        <v>44.29</v>
      </c>
      <c r="F73">
        <v>1.0999000000000001</v>
      </c>
      <c r="G73">
        <v>1.4E-3</v>
      </c>
      <c r="H73">
        <f t="shared" si="3"/>
        <v>0.53868674194897537</v>
      </c>
      <c r="I73">
        <f t="shared" si="4"/>
        <v>0.46309075700543706</v>
      </c>
      <c r="J73">
        <f t="shared" si="5"/>
        <v>7.230000000000004</v>
      </c>
    </row>
    <row r="74" spans="1:10" x14ac:dyDescent="0.25">
      <c r="A74" t="s">
        <v>9</v>
      </c>
      <c r="B74">
        <v>60</v>
      </c>
      <c r="C74">
        <v>95.64</v>
      </c>
      <c r="D74">
        <v>61.07</v>
      </c>
      <c r="E74">
        <v>53.72</v>
      </c>
      <c r="F74">
        <v>1.1311</v>
      </c>
      <c r="G74">
        <v>2E-3</v>
      </c>
      <c r="H74">
        <f t="shared" si="3"/>
        <v>0.6385403596821414</v>
      </c>
      <c r="I74">
        <f t="shared" si="4"/>
        <v>0.56168966959431199</v>
      </c>
      <c r="J74">
        <f t="shared" si="5"/>
        <v>7.3500000000000014</v>
      </c>
    </row>
    <row r="75" spans="1:10" x14ac:dyDescent="0.25">
      <c r="A75" t="s">
        <v>9</v>
      </c>
      <c r="B75">
        <v>65</v>
      </c>
      <c r="C75">
        <v>95.64</v>
      </c>
      <c r="D75">
        <v>68.62</v>
      </c>
      <c r="E75">
        <v>60.18</v>
      </c>
      <c r="F75">
        <v>1.1939</v>
      </c>
      <c r="G75">
        <v>2.2000000000000001E-3</v>
      </c>
      <c r="H75">
        <f t="shared" si="3"/>
        <v>0.71748222501045589</v>
      </c>
      <c r="I75">
        <f t="shared" si="4"/>
        <v>0.62923462986198242</v>
      </c>
      <c r="J75">
        <f t="shared" si="5"/>
        <v>8.4400000000000048</v>
      </c>
    </row>
    <row r="76" spans="1:10" x14ac:dyDescent="0.25">
      <c r="A76" t="s">
        <v>9</v>
      </c>
      <c r="B76">
        <v>70</v>
      </c>
      <c r="C76">
        <v>95.64</v>
      </c>
      <c r="D76">
        <v>72.48</v>
      </c>
      <c r="E76">
        <v>63.32</v>
      </c>
      <c r="F76">
        <v>1.1972</v>
      </c>
      <c r="G76">
        <v>2E-3</v>
      </c>
      <c r="H76">
        <f t="shared" si="3"/>
        <v>0.75784190715181932</v>
      </c>
      <c r="I76">
        <f t="shared" si="4"/>
        <v>0.66206608113759935</v>
      </c>
      <c r="J76">
        <f t="shared" si="5"/>
        <v>9.1600000000000037</v>
      </c>
    </row>
    <row r="77" spans="1:10" x14ac:dyDescent="0.25">
      <c r="A77" t="s">
        <v>9</v>
      </c>
      <c r="B77">
        <v>75</v>
      </c>
      <c r="C77">
        <v>95.64</v>
      </c>
      <c r="D77">
        <v>76.94</v>
      </c>
      <c r="E77">
        <v>67.239999999999995</v>
      </c>
      <c r="F77">
        <v>1.2142999999999999</v>
      </c>
      <c r="G77">
        <v>2E-3</v>
      </c>
      <c r="H77">
        <f t="shared" si="3"/>
        <v>0.8044751150146382</v>
      </c>
      <c r="I77">
        <f t="shared" si="4"/>
        <v>0.7030531158511083</v>
      </c>
      <c r="J77">
        <f t="shared" si="5"/>
        <v>9.7000000000000028</v>
      </c>
    </row>
    <row r="78" spans="1:10" x14ac:dyDescent="0.25">
      <c r="A78" t="s">
        <v>9</v>
      </c>
      <c r="B78">
        <v>80</v>
      </c>
      <c r="C78">
        <v>95.64</v>
      </c>
      <c r="D78">
        <v>82.87</v>
      </c>
      <c r="E78">
        <v>72.150000000000006</v>
      </c>
      <c r="F78">
        <v>1.2068000000000001</v>
      </c>
      <c r="G78">
        <v>2E-3</v>
      </c>
      <c r="H78">
        <f t="shared" si="3"/>
        <v>0.86647846089502301</v>
      </c>
      <c r="I78">
        <f t="shared" si="4"/>
        <v>0.75439146800501888</v>
      </c>
      <c r="J78">
        <f t="shared" si="5"/>
        <v>10.719999999999999</v>
      </c>
    </row>
    <row r="79" spans="1:10" x14ac:dyDescent="0.25">
      <c r="A79" t="s">
        <v>9</v>
      </c>
      <c r="B79">
        <v>85</v>
      </c>
      <c r="C79">
        <v>95.64</v>
      </c>
      <c r="D79">
        <v>90.9</v>
      </c>
      <c r="E79">
        <v>79.27</v>
      </c>
      <c r="F79">
        <v>1.2458</v>
      </c>
      <c r="G79">
        <v>2E-3</v>
      </c>
      <c r="H79">
        <f t="shared" si="3"/>
        <v>0.9504391468005019</v>
      </c>
      <c r="I79">
        <f t="shared" si="4"/>
        <v>0.82883730656629018</v>
      </c>
      <c r="J79">
        <f t="shared" si="5"/>
        <v>11.63000000000001</v>
      </c>
    </row>
    <row r="80" spans="1:10" x14ac:dyDescent="0.25">
      <c r="A80" t="s">
        <v>9</v>
      </c>
      <c r="B80">
        <v>90</v>
      </c>
      <c r="C80">
        <v>95.64</v>
      </c>
      <c r="D80">
        <v>113.5</v>
      </c>
      <c r="E80">
        <v>99.38</v>
      </c>
      <c r="F80">
        <v>1.2932999999999999</v>
      </c>
      <c r="G80">
        <v>2E-3</v>
      </c>
      <c r="H80">
        <f t="shared" si="3"/>
        <v>1.1867419489753241</v>
      </c>
      <c r="I80">
        <f t="shared" si="4"/>
        <v>1.0391049769970724</v>
      </c>
      <c r="J80">
        <f t="shared" si="5"/>
        <v>14.120000000000005</v>
      </c>
    </row>
    <row r="81" spans="1:10" x14ac:dyDescent="0.25">
      <c r="A81" t="s">
        <v>9</v>
      </c>
      <c r="B81">
        <v>95</v>
      </c>
      <c r="C81">
        <v>95.64</v>
      </c>
      <c r="D81">
        <v>150.59</v>
      </c>
      <c r="E81">
        <v>131.32</v>
      </c>
      <c r="F81">
        <v>1.3488</v>
      </c>
      <c r="G81">
        <v>3.2000000000000002E-3</v>
      </c>
      <c r="H81">
        <f t="shared" si="3"/>
        <v>1.5745503973232957</v>
      </c>
      <c r="I81">
        <f t="shared" si="4"/>
        <v>1.3730656629025511</v>
      </c>
      <c r="J81">
        <f t="shared" si="5"/>
        <v>19.27000000000001</v>
      </c>
    </row>
    <row r="82" spans="1:10" x14ac:dyDescent="0.25">
      <c r="A82" t="s">
        <v>10</v>
      </c>
      <c r="B82">
        <v>0</v>
      </c>
      <c r="C82">
        <v>1697.71</v>
      </c>
      <c r="D82">
        <v>19.86</v>
      </c>
      <c r="E82">
        <v>18.05</v>
      </c>
      <c r="F82">
        <v>1.1287</v>
      </c>
      <c r="G82">
        <v>2E-3</v>
      </c>
      <c r="H82">
        <f t="shared" si="3"/>
        <v>1.1698110984797167E-2</v>
      </c>
      <c r="I82">
        <f t="shared" si="4"/>
        <v>1.0631968946404275E-2</v>
      </c>
      <c r="J82">
        <f t="shared" si="5"/>
        <v>1.8099999999999987</v>
      </c>
    </row>
    <row r="83" spans="1:10" x14ac:dyDescent="0.25">
      <c r="A83" t="s">
        <v>10</v>
      </c>
      <c r="B83">
        <v>5</v>
      </c>
      <c r="C83">
        <v>1697.71</v>
      </c>
      <c r="D83">
        <v>25.26</v>
      </c>
      <c r="E83">
        <v>23.29</v>
      </c>
      <c r="F83">
        <v>1.1853</v>
      </c>
      <c r="G83">
        <v>2E-3</v>
      </c>
      <c r="H83">
        <f t="shared" si="3"/>
        <v>1.4878866237461052E-2</v>
      </c>
      <c r="I83">
        <f t="shared" si="4"/>
        <v>1.3718479598989227E-2</v>
      </c>
      <c r="J83">
        <f t="shared" si="5"/>
        <v>1.9700000000000024</v>
      </c>
    </row>
    <row r="84" spans="1:10" x14ac:dyDescent="0.25">
      <c r="A84" t="s">
        <v>10</v>
      </c>
      <c r="B84">
        <v>10</v>
      </c>
      <c r="C84">
        <v>1697.71</v>
      </c>
      <c r="D84">
        <v>36.25</v>
      </c>
      <c r="E84">
        <v>33.61</v>
      </c>
      <c r="F84">
        <v>1.1942999999999999</v>
      </c>
      <c r="G84">
        <v>2E-3</v>
      </c>
      <c r="H84">
        <f t="shared" si="3"/>
        <v>2.1352292205382543E-2</v>
      </c>
      <c r="I84">
        <f t="shared" si="4"/>
        <v>1.9797256304080201E-2</v>
      </c>
      <c r="J84">
        <f t="shared" si="5"/>
        <v>2.6400000000000006</v>
      </c>
    </row>
    <row r="85" spans="1:10" x14ac:dyDescent="0.25">
      <c r="A85" t="s">
        <v>10</v>
      </c>
      <c r="B85">
        <v>15</v>
      </c>
      <c r="C85">
        <v>1697.71</v>
      </c>
      <c r="D85">
        <v>45.89</v>
      </c>
      <c r="E85">
        <v>42.91</v>
      </c>
      <c r="F85">
        <v>1.2723</v>
      </c>
      <c r="G85">
        <v>2.8999999999999998E-3</v>
      </c>
      <c r="H85">
        <f t="shared" si="3"/>
        <v>2.703052936013807E-2</v>
      </c>
      <c r="I85">
        <f t="shared" si="4"/>
        <v>2.5275223683667997E-2</v>
      </c>
      <c r="J85">
        <f t="shared" si="5"/>
        <v>2.980000000000004</v>
      </c>
    </row>
    <row r="86" spans="1:10" x14ac:dyDescent="0.25">
      <c r="A86" t="s">
        <v>10</v>
      </c>
      <c r="B86">
        <v>20</v>
      </c>
      <c r="C86">
        <v>1697.71</v>
      </c>
      <c r="D86">
        <v>55.61</v>
      </c>
      <c r="E86">
        <v>51.68</v>
      </c>
      <c r="F86">
        <v>1.3167</v>
      </c>
      <c r="G86">
        <v>2E-3</v>
      </c>
      <c r="H86">
        <f t="shared" si="3"/>
        <v>3.2755888814933055E-2</v>
      </c>
      <c r="I86">
        <f t="shared" si="4"/>
        <v>3.0441005825494343E-2</v>
      </c>
      <c r="J86">
        <f t="shared" si="5"/>
        <v>3.9299999999999997</v>
      </c>
    </row>
    <row r="87" spans="1:10" x14ac:dyDescent="0.25">
      <c r="A87" t="s">
        <v>10</v>
      </c>
      <c r="B87">
        <v>25</v>
      </c>
      <c r="C87">
        <v>1697.71</v>
      </c>
      <c r="D87">
        <v>64.55</v>
      </c>
      <c r="E87">
        <v>60.12</v>
      </c>
      <c r="F87">
        <v>1.365</v>
      </c>
      <c r="G87">
        <v>2.5000000000000001E-3</v>
      </c>
      <c r="H87">
        <f t="shared" si="3"/>
        <v>3.8021805844343261E-2</v>
      </c>
      <c r="I87">
        <f t="shared" si="4"/>
        <v>3.5412408479657889E-2</v>
      </c>
      <c r="J87">
        <f t="shared" si="5"/>
        <v>4.43</v>
      </c>
    </row>
    <row r="88" spans="1:10" x14ac:dyDescent="0.25">
      <c r="A88" t="s">
        <v>10</v>
      </c>
      <c r="B88">
        <v>30</v>
      </c>
      <c r="C88">
        <v>1697.71</v>
      </c>
      <c r="D88">
        <v>72.91</v>
      </c>
      <c r="E88">
        <v>68</v>
      </c>
      <c r="F88">
        <v>1.3951</v>
      </c>
      <c r="G88">
        <v>3.0000000000000001E-3</v>
      </c>
      <c r="H88">
        <f t="shared" si="3"/>
        <v>4.2946086198467341E-2</v>
      </c>
      <c r="I88">
        <f t="shared" si="4"/>
        <v>4.005395503354519E-2</v>
      </c>
      <c r="J88">
        <f t="shared" si="5"/>
        <v>4.9099999999999966</v>
      </c>
    </row>
    <row r="89" spans="1:10" x14ac:dyDescent="0.25">
      <c r="A89" t="s">
        <v>10</v>
      </c>
      <c r="B89">
        <v>35</v>
      </c>
      <c r="C89">
        <v>1697.71</v>
      </c>
      <c r="D89">
        <v>80.92</v>
      </c>
      <c r="E89">
        <v>75.739999999999995</v>
      </c>
      <c r="F89">
        <v>1.4469000000000001</v>
      </c>
      <c r="G89">
        <v>2.5000000000000001E-3</v>
      </c>
      <c r="H89">
        <f t="shared" si="3"/>
        <v>4.7664206489918773E-2</v>
      </c>
      <c r="I89">
        <f t="shared" si="4"/>
        <v>4.4613037562363414E-2</v>
      </c>
      <c r="J89">
        <f t="shared" si="5"/>
        <v>5.1800000000000068</v>
      </c>
    </row>
    <row r="90" spans="1:10" x14ac:dyDescent="0.25">
      <c r="A90" t="s">
        <v>10</v>
      </c>
      <c r="B90">
        <v>40</v>
      </c>
      <c r="C90">
        <v>1697.71</v>
      </c>
      <c r="D90">
        <v>87.76</v>
      </c>
      <c r="E90">
        <v>82.03</v>
      </c>
      <c r="F90">
        <v>1.4753000000000001</v>
      </c>
      <c r="G90">
        <v>3.0000000000000001E-3</v>
      </c>
      <c r="H90">
        <f t="shared" si="3"/>
        <v>5.1693163143293024E-2</v>
      </c>
      <c r="I90">
        <f t="shared" si="4"/>
        <v>4.8318028402966347E-2</v>
      </c>
      <c r="J90">
        <f t="shared" si="5"/>
        <v>5.730000000000004</v>
      </c>
    </row>
    <row r="91" spans="1:10" x14ac:dyDescent="0.25">
      <c r="A91" t="s">
        <v>10</v>
      </c>
      <c r="B91">
        <v>45</v>
      </c>
      <c r="C91">
        <v>1697.71</v>
      </c>
      <c r="D91">
        <v>95.71</v>
      </c>
      <c r="E91">
        <v>89.41</v>
      </c>
      <c r="F91">
        <v>1.5164</v>
      </c>
      <c r="G91">
        <v>2E-3</v>
      </c>
      <c r="H91">
        <f t="shared" si="3"/>
        <v>5.6375941709714848E-2</v>
      </c>
      <c r="I91">
        <f t="shared" si="4"/>
        <v>5.2665060581606984E-2</v>
      </c>
      <c r="J91">
        <f t="shared" si="5"/>
        <v>6.2999999999999972</v>
      </c>
    </row>
    <row r="92" spans="1:10" x14ac:dyDescent="0.25">
      <c r="A92" t="s">
        <v>10</v>
      </c>
      <c r="B92">
        <v>50</v>
      </c>
      <c r="C92">
        <v>1697.71</v>
      </c>
      <c r="D92">
        <v>102.51</v>
      </c>
      <c r="E92">
        <v>95.8</v>
      </c>
      <c r="F92">
        <v>1.5542</v>
      </c>
      <c r="G92">
        <v>3.0000000000000001E-3</v>
      </c>
      <c r="H92">
        <f t="shared" si="3"/>
        <v>6.0381337213069375E-2</v>
      </c>
      <c r="I92">
        <f t="shared" si="4"/>
        <v>5.6428954297259248E-2</v>
      </c>
      <c r="J92">
        <f t="shared" si="5"/>
        <v>6.710000000000008</v>
      </c>
    </row>
    <row r="93" spans="1:10" x14ac:dyDescent="0.25">
      <c r="A93" t="s">
        <v>10</v>
      </c>
      <c r="B93">
        <v>55</v>
      </c>
      <c r="C93">
        <v>1697.71</v>
      </c>
      <c r="D93">
        <v>109.73</v>
      </c>
      <c r="E93">
        <v>102.55</v>
      </c>
      <c r="F93">
        <v>1.5924</v>
      </c>
      <c r="G93">
        <v>2E-3</v>
      </c>
      <c r="H93">
        <f t="shared" si="3"/>
        <v>6.4634124791631081E-2</v>
      </c>
      <c r="I93">
        <f t="shared" si="4"/>
        <v>6.0404898363089099E-2</v>
      </c>
      <c r="J93">
        <f t="shared" si="5"/>
        <v>7.1800000000000068</v>
      </c>
    </row>
    <row r="94" spans="1:10" x14ac:dyDescent="0.25">
      <c r="A94" t="s">
        <v>10</v>
      </c>
      <c r="B94">
        <v>60</v>
      </c>
      <c r="C94">
        <v>1697.71</v>
      </c>
      <c r="D94">
        <v>119.13</v>
      </c>
      <c r="E94">
        <v>111.36</v>
      </c>
      <c r="F94">
        <v>1.5991</v>
      </c>
      <c r="G94">
        <v>2.8999999999999998E-3</v>
      </c>
      <c r="H94">
        <f t="shared" si="3"/>
        <v>7.0170995046268198E-2</v>
      </c>
      <c r="I94">
        <f t="shared" si="4"/>
        <v>6.5594241654935173E-2</v>
      </c>
      <c r="J94">
        <f t="shared" si="5"/>
        <v>7.769999999999996</v>
      </c>
    </row>
    <row r="95" spans="1:10" x14ac:dyDescent="0.25">
      <c r="A95" t="s">
        <v>10</v>
      </c>
      <c r="B95">
        <v>65</v>
      </c>
      <c r="C95">
        <v>1697.71</v>
      </c>
      <c r="D95">
        <v>131.19999999999999</v>
      </c>
      <c r="E95">
        <v>122.44</v>
      </c>
      <c r="F95">
        <v>1.6654</v>
      </c>
      <c r="G95">
        <v>2E-3</v>
      </c>
      <c r="H95">
        <f t="shared" si="3"/>
        <v>7.7280572064722469E-2</v>
      </c>
      <c r="I95">
        <f t="shared" si="4"/>
        <v>7.2120680210401064E-2</v>
      </c>
      <c r="J95">
        <f t="shared" si="5"/>
        <v>8.7599999999999909</v>
      </c>
    </row>
    <row r="96" spans="1:10" x14ac:dyDescent="0.25">
      <c r="A96" t="s">
        <v>10</v>
      </c>
      <c r="B96">
        <v>70</v>
      </c>
      <c r="C96">
        <v>1697.71</v>
      </c>
      <c r="D96">
        <v>146.32</v>
      </c>
      <c r="E96">
        <v>136.63999999999999</v>
      </c>
      <c r="F96">
        <v>1.7582</v>
      </c>
      <c r="G96">
        <v>3.0000000000000001E-3</v>
      </c>
      <c r="H96">
        <f t="shared" si="3"/>
        <v>8.6186686772181345E-2</v>
      </c>
      <c r="I96">
        <f t="shared" si="4"/>
        <v>8.048488846740609E-2</v>
      </c>
      <c r="J96">
        <f t="shared" si="5"/>
        <v>9.6800000000000068</v>
      </c>
    </row>
    <row r="97" spans="1:10" x14ac:dyDescent="0.25">
      <c r="A97" t="s">
        <v>10</v>
      </c>
      <c r="B97">
        <v>75</v>
      </c>
      <c r="C97">
        <v>1697.71</v>
      </c>
      <c r="D97">
        <v>164.59</v>
      </c>
      <c r="E97">
        <v>153.69</v>
      </c>
      <c r="F97">
        <v>1.8493999999999999</v>
      </c>
      <c r="G97">
        <v>4.0000000000000001E-3</v>
      </c>
      <c r="H97">
        <f t="shared" si="3"/>
        <v>9.6948242043694149E-2</v>
      </c>
      <c r="I97">
        <f t="shared" si="4"/>
        <v>9.0527828663317059E-2</v>
      </c>
      <c r="J97">
        <f t="shared" si="5"/>
        <v>10.900000000000006</v>
      </c>
    </row>
    <row r="98" spans="1:10" x14ac:dyDescent="0.25">
      <c r="A98" t="s">
        <v>10</v>
      </c>
      <c r="B98">
        <v>80</v>
      </c>
      <c r="C98">
        <v>1697.71</v>
      </c>
      <c r="D98">
        <v>192.78</v>
      </c>
      <c r="E98">
        <v>180.18</v>
      </c>
      <c r="F98">
        <v>1.9278999999999999</v>
      </c>
      <c r="G98">
        <v>4.0000000000000001E-3</v>
      </c>
      <c r="H98">
        <f t="shared" si="3"/>
        <v>0.11355296252010061</v>
      </c>
      <c r="I98">
        <f t="shared" si="4"/>
        <v>0.10613120026388488</v>
      </c>
      <c r="J98">
        <f t="shared" si="5"/>
        <v>12.599999999999994</v>
      </c>
    </row>
    <row r="99" spans="1:10" x14ac:dyDescent="0.25">
      <c r="A99" t="s">
        <v>10</v>
      </c>
      <c r="B99">
        <v>85</v>
      </c>
      <c r="C99">
        <v>1697.71</v>
      </c>
      <c r="D99">
        <v>232.35</v>
      </c>
      <c r="E99">
        <v>216.72</v>
      </c>
      <c r="F99">
        <v>2.0830000000000002</v>
      </c>
      <c r="G99">
        <v>4.0000000000000001E-3</v>
      </c>
      <c r="H99">
        <f t="shared" si="3"/>
        <v>0.13686083017712095</v>
      </c>
      <c r="I99">
        <f t="shared" si="4"/>
        <v>0.12765431080691048</v>
      </c>
      <c r="J99">
        <f t="shared" si="5"/>
        <v>15.629999999999995</v>
      </c>
    </row>
    <row r="100" spans="1:10" x14ac:dyDescent="0.25">
      <c r="A100" t="s">
        <v>10</v>
      </c>
      <c r="B100">
        <v>90</v>
      </c>
      <c r="C100">
        <v>1697.71</v>
      </c>
      <c r="D100">
        <v>299.58999999999997</v>
      </c>
      <c r="E100">
        <v>278.12</v>
      </c>
      <c r="F100">
        <v>2.3519000000000001</v>
      </c>
      <c r="G100">
        <v>4.0000000000000001E-3</v>
      </c>
      <c r="H100">
        <f t="shared" si="3"/>
        <v>0.17646712336029119</v>
      </c>
      <c r="I100">
        <f t="shared" si="4"/>
        <v>0.16382067608719983</v>
      </c>
      <c r="J100">
        <f t="shared" si="5"/>
        <v>21.46999999999997</v>
      </c>
    </row>
    <row r="101" spans="1:10" x14ac:dyDescent="0.25">
      <c r="A101" t="s">
        <v>10</v>
      </c>
      <c r="B101">
        <v>95</v>
      </c>
      <c r="C101">
        <v>1697.71</v>
      </c>
      <c r="D101">
        <v>430.35</v>
      </c>
      <c r="E101">
        <v>400.27</v>
      </c>
      <c r="F101">
        <v>2.9416000000000002</v>
      </c>
      <c r="G101">
        <v>5.0000000000000001E-3</v>
      </c>
      <c r="H101">
        <f t="shared" si="3"/>
        <v>0.25348852277479667</v>
      </c>
      <c r="I101">
        <f t="shared" si="4"/>
        <v>0.23577053795995781</v>
      </c>
      <c r="J101">
        <f t="shared" si="5"/>
        <v>30.080000000000041</v>
      </c>
    </row>
    <row r="102" spans="1:10" x14ac:dyDescent="0.25">
      <c r="A102" t="s">
        <v>11</v>
      </c>
      <c r="B102">
        <v>0</v>
      </c>
      <c r="C102">
        <v>1911.63</v>
      </c>
      <c r="D102">
        <v>32.56</v>
      </c>
      <c r="E102">
        <v>29.48</v>
      </c>
      <c r="F102">
        <v>1.8169</v>
      </c>
      <c r="G102">
        <v>3.0000000000000001E-3</v>
      </c>
      <c r="H102">
        <f t="shared" si="3"/>
        <v>1.7032584757510606E-2</v>
      </c>
      <c r="I102">
        <f t="shared" si="4"/>
        <v>1.5421394307475819E-2</v>
      </c>
      <c r="J102">
        <f t="shared" si="5"/>
        <v>3.0800000000000018</v>
      </c>
    </row>
    <row r="103" spans="1:10" x14ac:dyDescent="0.25">
      <c r="A103" t="s">
        <v>11</v>
      </c>
      <c r="B103">
        <v>5</v>
      </c>
      <c r="C103">
        <v>1911.63</v>
      </c>
      <c r="D103">
        <v>42.01</v>
      </c>
      <c r="E103">
        <v>38.08</v>
      </c>
      <c r="F103">
        <v>1.8573999999999999</v>
      </c>
      <c r="G103">
        <v>3.0000000000000001E-3</v>
      </c>
      <c r="H103">
        <f t="shared" si="3"/>
        <v>2.1976010001935518E-2</v>
      </c>
      <c r="I103">
        <f t="shared" si="4"/>
        <v>1.9920172836793728E-2</v>
      </c>
      <c r="J103">
        <f t="shared" si="5"/>
        <v>3.9299999999999997</v>
      </c>
    </row>
    <row r="104" spans="1:10" x14ac:dyDescent="0.25">
      <c r="A104" t="s">
        <v>11</v>
      </c>
      <c r="B104">
        <v>10</v>
      </c>
      <c r="C104">
        <v>1911.63</v>
      </c>
      <c r="D104">
        <v>60.53</v>
      </c>
      <c r="E104">
        <v>55.05</v>
      </c>
      <c r="F104">
        <v>1.9662999999999999</v>
      </c>
      <c r="G104">
        <v>3.0000000000000001E-3</v>
      </c>
      <c r="H104">
        <f t="shared" si="3"/>
        <v>3.1664077253443397E-2</v>
      </c>
      <c r="I104">
        <f t="shared" si="4"/>
        <v>2.8797413725459423E-2</v>
      </c>
      <c r="J104">
        <f t="shared" si="5"/>
        <v>5.480000000000004</v>
      </c>
    </row>
    <row r="105" spans="1:10" x14ac:dyDescent="0.25">
      <c r="A105" t="s">
        <v>11</v>
      </c>
      <c r="B105">
        <v>15</v>
      </c>
      <c r="C105">
        <v>1911.63</v>
      </c>
      <c r="D105">
        <v>76.349999999999994</v>
      </c>
      <c r="E105">
        <v>69.38</v>
      </c>
      <c r="F105">
        <v>2.0507</v>
      </c>
      <c r="G105">
        <v>4.3E-3</v>
      </c>
      <c r="H105">
        <f t="shared" si="3"/>
        <v>3.9939737292258436E-2</v>
      </c>
      <c r="I105">
        <f t="shared" si="4"/>
        <v>3.6293634228381014E-2</v>
      </c>
      <c r="J105">
        <f t="shared" si="5"/>
        <v>6.9699999999999989</v>
      </c>
    </row>
    <row r="106" spans="1:10" x14ac:dyDescent="0.25">
      <c r="A106" t="s">
        <v>11</v>
      </c>
      <c r="B106">
        <v>20</v>
      </c>
      <c r="C106">
        <v>1911.63</v>
      </c>
      <c r="D106">
        <v>90.43</v>
      </c>
      <c r="E106">
        <v>82.16</v>
      </c>
      <c r="F106">
        <v>2.1257000000000001</v>
      </c>
      <c r="G106">
        <v>4.0000000000000001E-3</v>
      </c>
      <c r="H106">
        <f t="shared" si="3"/>
        <v>4.7305179349560321E-2</v>
      </c>
      <c r="I106">
        <f t="shared" si="4"/>
        <v>4.2979028368460417E-2</v>
      </c>
      <c r="J106">
        <f t="shared" si="5"/>
        <v>8.2700000000000102</v>
      </c>
    </row>
    <row r="107" spans="1:10" x14ac:dyDescent="0.25">
      <c r="A107" t="s">
        <v>11</v>
      </c>
      <c r="B107">
        <v>25</v>
      </c>
      <c r="C107">
        <v>1911.63</v>
      </c>
      <c r="D107">
        <v>103.23</v>
      </c>
      <c r="E107">
        <v>93.72</v>
      </c>
      <c r="F107">
        <v>2.2385999999999999</v>
      </c>
      <c r="G107">
        <v>3.0000000000000001E-3</v>
      </c>
      <c r="H107">
        <f t="shared" si="3"/>
        <v>5.4001035765289307E-2</v>
      </c>
      <c r="I107">
        <f t="shared" si="4"/>
        <v>4.9026223693915662E-2</v>
      </c>
      <c r="J107">
        <f t="shared" si="5"/>
        <v>9.5100000000000051</v>
      </c>
    </row>
    <row r="108" spans="1:10" x14ac:dyDescent="0.25">
      <c r="A108" t="s">
        <v>11</v>
      </c>
      <c r="B108">
        <v>30</v>
      </c>
      <c r="C108">
        <v>1911.63</v>
      </c>
      <c r="D108">
        <v>114.67</v>
      </c>
      <c r="E108">
        <v>104.3</v>
      </c>
      <c r="F108">
        <v>2.2275</v>
      </c>
      <c r="G108">
        <v>4.0000000000000001E-3</v>
      </c>
      <c r="H108">
        <f t="shared" si="3"/>
        <v>5.9985457436847085E-2</v>
      </c>
      <c r="I108">
        <f t="shared" si="4"/>
        <v>5.4560767512541651E-2</v>
      </c>
      <c r="J108">
        <f t="shared" si="5"/>
        <v>10.370000000000005</v>
      </c>
    </row>
    <row r="109" spans="1:10" x14ac:dyDescent="0.25">
      <c r="A109" t="s">
        <v>11</v>
      </c>
      <c r="B109">
        <v>35</v>
      </c>
      <c r="C109">
        <v>1911.63</v>
      </c>
      <c r="D109">
        <v>125.9</v>
      </c>
      <c r="E109">
        <v>114.69</v>
      </c>
      <c r="F109">
        <v>2.4599000000000002</v>
      </c>
      <c r="G109">
        <v>4.0000000000000001E-3</v>
      </c>
      <c r="H109">
        <f t="shared" si="3"/>
        <v>6.5860025214084308E-2</v>
      </c>
      <c r="I109">
        <f t="shared" si="4"/>
        <v>5.9995919712496661E-2</v>
      </c>
      <c r="J109">
        <f t="shared" si="5"/>
        <v>11.210000000000008</v>
      </c>
    </row>
    <row r="110" spans="1:10" x14ac:dyDescent="0.25">
      <c r="A110" t="s">
        <v>11</v>
      </c>
      <c r="B110">
        <v>40</v>
      </c>
      <c r="C110">
        <v>1911.63</v>
      </c>
      <c r="D110">
        <v>134.71</v>
      </c>
      <c r="E110">
        <v>122.64</v>
      </c>
      <c r="F110">
        <v>2.3677000000000001</v>
      </c>
      <c r="G110">
        <v>3.0000000000000001E-3</v>
      </c>
      <c r="H110">
        <f t="shared" si="3"/>
        <v>7.0468657637722781E-2</v>
      </c>
      <c r="I110">
        <f t="shared" si="4"/>
        <v>6.4154674283203331E-2</v>
      </c>
      <c r="J110">
        <f t="shared" si="5"/>
        <v>12.070000000000007</v>
      </c>
    </row>
    <row r="111" spans="1:10" x14ac:dyDescent="0.25">
      <c r="A111" t="s">
        <v>11</v>
      </c>
      <c r="B111">
        <v>45</v>
      </c>
      <c r="C111">
        <v>1911.63</v>
      </c>
      <c r="D111">
        <v>144.58000000000001</v>
      </c>
      <c r="E111">
        <v>131.59</v>
      </c>
      <c r="F111">
        <v>2.3734999999999999</v>
      </c>
      <c r="G111">
        <v>4.0000000000000001E-3</v>
      </c>
      <c r="H111">
        <f t="shared" si="3"/>
        <v>7.5631790670788804E-2</v>
      </c>
      <c r="I111">
        <f t="shared" si="4"/>
        <v>6.8836542636388845E-2</v>
      </c>
      <c r="J111">
        <f t="shared" si="5"/>
        <v>12.990000000000009</v>
      </c>
    </row>
    <row r="112" spans="1:10" x14ac:dyDescent="0.25">
      <c r="A112" t="s">
        <v>11</v>
      </c>
      <c r="B112">
        <v>50</v>
      </c>
      <c r="C112">
        <v>1911.63</v>
      </c>
      <c r="D112">
        <v>152.88</v>
      </c>
      <c r="E112">
        <v>139.16999999999999</v>
      </c>
      <c r="F112">
        <v>2.4300999999999999</v>
      </c>
      <c r="G112">
        <v>4.0000000000000001E-3</v>
      </c>
      <c r="H112">
        <f t="shared" si="3"/>
        <v>7.9973635065363063E-2</v>
      </c>
      <c r="I112">
        <f t="shared" si="4"/>
        <v>7.2801745107578336E-2</v>
      </c>
      <c r="J112">
        <f t="shared" si="5"/>
        <v>13.710000000000008</v>
      </c>
    </row>
    <row r="113" spans="1:10" x14ac:dyDescent="0.25">
      <c r="A113" t="s">
        <v>11</v>
      </c>
      <c r="B113">
        <v>55</v>
      </c>
      <c r="C113">
        <v>1911.63</v>
      </c>
      <c r="D113">
        <v>161.74</v>
      </c>
      <c r="E113">
        <v>147.19999999999999</v>
      </c>
      <c r="F113">
        <v>2.5432999999999999</v>
      </c>
      <c r="G113">
        <v>4.0000000000000001E-3</v>
      </c>
      <c r="H113">
        <f t="shared" si="3"/>
        <v>8.4608423178125475E-2</v>
      </c>
      <c r="I113">
        <f t="shared" si="4"/>
        <v>7.7002348780883315E-2</v>
      </c>
      <c r="J113">
        <f t="shared" si="5"/>
        <v>14.54000000000002</v>
      </c>
    </row>
    <row r="114" spans="1:10" x14ac:dyDescent="0.25">
      <c r="A114" t="s">
        <v>11</v>
      </c>
      <c r="B114">
        <v>60</v>
      </c>
      <c r="C114">
        <v>1911.63</v>
      </c>
      <c r="D114">
        <v>172.74</v>
      </c>
      <c r="E114">
        <v>157.18</v>
      </c>
      <c r="F114">
        <v>2.5615000000000001</v>
      </c>
      <c r="G114">
        <v>4.0000000000000001E-3</v>
      </c>
      <c r="H114">
        <f t="shared" si="3"/>
        <v>9.0362674785392574E-2</v>
      </c>
      <c r="I114">
        <f t="shared" si="4"/>
        <v>8.2223024330022015E-2</v>
      </c>
      <c r="J114">
        <f t="shared" si="5"/>
        <v>15.560000000000002</v>
      </c>
    </row>
    <row r="115" spans="1:10" x14ac:dyDescent="0.25">
      <c r="A115" t="s">
        <v>11</v>
      </c>
      <c r="B115">
        <v>65</v>
      </c>
      <c r="C115">
        <v>1911.63</v>
      </c>
      <c r="D115">
        <v>186.25</v>
      </c>
      <c r="E115">
        <v>169.39</v>
      </c>
      <c r="F115">
        <v>2.6236000000000002</v>
      </c>
      <c r="G115">
        <v>4.0000000000000001E-3</v>
      </c>
      <c r="H115">
        <f t="shared" si="3"/>
        <v>9.742994198668152E-2</v>
      </c>
      <c r="I115">
        <f t="shared" si="4"/>
        <v>8.8610243614088494E-2</v>
      </c>
      <c r="J115">
        <f t="shared" si="5"/>
        <v>16.860000000000014</v>
      </c>
    </row>
    <row r="116" spans="1:10" x14ac:dyDescent="0.25">
      <c r="A116" t="s">
        <v>11</v>
      </c>
      <c r="B116">
        <v>70</v>
      </c>
      <c r="C116">
        <v>1911.63</v>
      </c>
      <c r="D116">
        <v>202.59</v>
      </c>
      <c r="E116">
        <v>184.4</v>
      </c>
      <c r="F116">
        <v>2.5899000000000001</v>
      </c>
      <c r="G116">
        <v>4.0000000000000001E-3</v>
      </c>
      <c r="H116">
        <f t="shared" si="3"/>
        <v>0.10597762119238555</v>
      </c>
      <c r="I116">
        <f t="shared" si="4"/>
        <v>9.6462181489095689E-2</v>
      </c>
      <c r="J116">
        <f t="shared" si="5"/>
        <v>18.189999999999998</v>
      </c>
    </row>
    <row r="117" spans="1:10" x14ac:dyDescent="0.25">
      <c r="A117" t="s">
        <v>11</v>
      </c>
      <c r="B117">
        <v>75</v>
      </c>
      <c r="C117">
        <v>1911.63</v>
      </c>
      <c r="D117">
        <v>221.23</v>
      </c>
      <c r="E117">
        <v>201.78</v>
      </c>
      <c r="F117">
        <v>2.6465999999999998</v>
      </c>
      <c r="G117">
        <v>5.0000000000000001E-3</v>
      </c>
      <c r="H117">
        <f t="shared" si="3"/>
        <v>0.11572846209779088</v>
      </c>
      <c r="I117">
        <f t="shared" si="4"/>
        <v>0.1055538990285777</v>
      </c>
      <c r="J117">
        <f t="shared" si="5"/>
        <v>19.449999999999989</v>
      </c>
    </row>
    <row r="118" spans="1:10" x14ac:dyDescent="0.25">
      <c r="A118" t="s">
        <v>11</v>
      </c>
      <c r="B118">
        <v>80</v>
      </c>
      <c r="C118">
        <v>1911.63</v>
      </c>
      <c r="D118">
        <v>250.39</v>
      </c>
      <c r="E118">
        <v>229.03</v>
      </c>
      <c r="F118">
        <v>2.7978999999999998</v>
      </c>
      <c r="G118">
        <v>5.0000000000000001E-3</v>
      </c>
      <c r="H118">
        <f t="shared" si="3"/>
        <v>0.13098245999487346</v>
      </c>
      <c r="I118">
        <f t="shared" si="4"/>
        <v>0.11980874960112574</v>
      </c>
      <c r="J118">
        <f t="shared" si="5"/>
        <v>21.359999999999985</v>
      </c>
    </row>
    <row r="119" spans="1:10" x14ac:dyDescent="0.25">
      <c r="A119" t="s">
        <v>11</v>
      </c>
      <c r="B119">
        <v>85</v>
      </c>
      <c r="C119">
        <v>1911.63</v>
      </c>
      <c r="D119">
        <v>289.89</v>
      </c>
      <c r="E119">
        <v>266.33</v>
      </c>
      <c r="F119">
        <v>3.0234000000000001</v>
      </c>
      <c r="G119">
        <v>5.0000000000000001E-3</v>
      </c>
      <c r="H119">
        <f t="shared" si="3"/>
        <v>0.15164545440278712</v>
      </c>
      <c r="I119">
        <f t="shared" si="4"/>
        <v>0.13932089368758596</v>
      </c>
      <c r="J119">
        <f t="shared" si="5"/>
        <v>23.560000000000002</v>
      </c>
    </row>
    <row r="120" spans="1:10" x14ac:dyDescent="0.25">
      <c r="A120" t="s">
        <v>11</v>
      </c>
      <c r="B120">
        <v>90</v>
      </c>
      <c r="C120">
        <v>1911.63</v>
      </c>
      <c r="D120">
        <v>359.64</v>
      </c>
      <c r="E120">
        <v>330.88</v>
      </c>
      <c r="F120">
        <v>3.2004999999999999</v>
      </c>
      <c r="G120">
        <v>5.0000000000000001E-3</v>
      </c>
      <c r="H120">
        <f t="shared" si="3"/>
        <v>0.18813264073068531</v>
      </c>
      <c r="I120">
        <f t="shared" si="4"/>
        <v>0.17308788834659425</v>
      </c>
      <c r="J120">
        <f t="shared" si="5"/>
        <v>28.759999999999991</v>
      </c>
    </row>
    <row r="121" spans="1:10" x14ac:dyDescent="0.25">
      <c r="A121" t="s">
        <v>11</v>
      </c>
      <c r="B121">
        <v>95</v>
      </c>
      <c r="C121">
        <v>1911.63</v>
      </c>
      <c r="D121">
        <v>505.41</v>
      </c>
      <c r="E121">
        <v>468.31</v>
      </c>
      <c r="F121">
        <v>3.8149000000000002</v>
      </c>
      <c r="G121">
        <v>6.0000000000000001E-3</v>
      </c>
      <c r="H121">
        <f t="shared" si="3"/>
        <v>0.26438693680262393</v>
      </c>
      <c r="I121">
        <f t="shared" si="4"/>
        <v>0.24497941547265945</v>
      </c>
      <c r="J121">
        <f t="shared" si="5"/>
        <v>37.100000000000023</v>
      </c>
    </row>
    <row r="122" spans="1:10" x14ac:dyDescent="0.25">
      <c r="A122" t="s">
        <v>18</v>
      </c>
      <c r="B122">
        <v>0</v>
      </c>
      <c r="C122">
        <v>14762.3</v>
      </c>
      <c r="D122">
        <v>90.15</v>
      </c>
      <c r="E122">
        <v>80.63</v>
      </c>
      <c r="F122">
        <v>6.4572000000000003</v>
      </c>
      <c r="G122">
        <v>0.01</v>
      </c>
      <c r="H122">
        <f t="shared" si="3"/>
        <v>6.1067719799760209E-3</v>
      </c>
      <c r="I122">
        <f t="shared" si="4"/>
        <v>5.4618860204710649E-3</v>
      </c>
      <c r="J122">
        <f t="shared" si="5"/>
        <v>9.5200000000000102</v>
      </c>
    </row>
    <row r="123" spans="1:10" x14ac:dyDescent="0.25">
      <c r="A123" t="s">
        <v>18</v>
      </c>
      <c r="B123">
        <v>5</v>
      </c>
      <c r="C123">
        <v>14762.3</v>
      </c>
      <c r="D123">
        <v>93.89</v>
      </c>
      <c r="E123">
        <v>83.7</v>
      </c>
      <c r="F123">
        <v>6.5538999999999996</v>
      </c>
      <c r="G123">
        <v>8.0000000000000002E-3</v>
      </c>
      <c r="H123">
        <f t="shared" si="3"/>
        <v>6.3601200354958245E-3</v>
      </c>
      <c r="I123">
        <f t="shared" si="4"/>
        <v>5.6698481943870541E-3</v>
      </c>
      <c r="J123">
        <f t="shared" si="5"/>
        <v>10.189999999999998</v>
      </c>
    </row>
    <row r="124" spans="1:10" x14ac:dyDescent="0.25">
      <c r="A124" t="s">
        <v>18</v>
      </c>
      <c r="B124">
        <v>10</v>
      </c>
      <c r="C124">
        <v>14762.3</v>
      </c>
      <c r="D124">
        <v>101.62</v>
      </c>
      <c r="E124">
        <v>90.95</v>
      </c>
      <c r="F124">
        <v>6.5807000000000002</v>
      </c>
      <c r="G124">
        <v>8.9999999999999993E-3</v>
      </c>
      <c r="H124">
        <f t="shared" si="3"/>
        <v>6.8837511769846167E-3</v>
      </c>
      <c r="I124">
        <f t="shared" si="4"/>
        <v>6.1609640774134113E-3</v>
      </c>
      <c r="J124">
        <f t="shared" si="5"/>
        <v>10.670000000000002</v>
      </c>
    </row>
    <row r="125" spans="1:10" x14ac:dyDescent="0.25">
      <c r="A125" t="s">
        <v>18</v>
      </c>
      <c r="B125">
        <v>15</v>
      </c>
      <c r="C125">
        <v>14762.3</v>
      </c>
      <c r="D125">
        <v>109.96</v>
      </c>
      <c r="E125">
        <v>97.94</v>
      </c>
      <c r="F125">
        <v>6.5621</v>
      </c>
      <c r="G125">
        <v>0.01</v>
      </c>
      <c r="H125">
        <f t="shared" si="3"/>
        <v>7.4487037927694197E-3</v>
      </c>
      <c r="I125">
        <f t="shared" si="4"/>
        <v>6.6344675287726166E-3</v>
      </c>
      <c r="J125">
        <f t="shared" si="5"/>
        <v>12.019999999999996</v>
      </c>
    </row>
    <row r="126" spans="1:10" x14ac:dyDescent="0.25">
      <c r="A126" t="s">
        <v>18</v>
      </c>
      <c r="B126">
        <v>20</v>
      </c>
      <c r="C126">
        <v>14762.3</v>
      </c>
      <c r="D126">
        <v>119.91</v>
      </c>
      <c r="E126">
        <v>107.17</v>
      </c>
      <c r="F126">
        <v>6.6429</v>
      </c>
      <c r="G126">
        <v>0.01</v>
      </c>
      <c r="H126">
        <f t="shared" si="3"/>
        <v>8.122718004646973E-3</v>
      </c>
      <c r="I126">
        <f t="shared" si="4"/>
        <v>7.259708852956518E-3</v>
      </c>
      <c r="J126">
        <f t="shared" si="5"/>
        <v>12.739999999999995</v>
      </c>
    </row>
    <row r="127" spans="1:10" x14ac:dyDescent="0.25">
      <c r="A127" t="s">
        <v>18</v>
      </c>
      <c r="B127">
        <v>25</v>
      </c>
      <c r="C127">
        <v>14762.3</v>
      </c>
      <c r="D127">
        <v>131.15</v>
      </c>
      <c r="E127">
        <v>116.69</v>
      </c>
      <c r="F127">
        <v>6.6993999999999998</v>
      </c>
      <c r="G127">
        <v>0.01</v>
      </c>
      <c r="H127">
        <f t="shared" si="3"/>
        <v>8.8841169736423187E-3</v>
      </c>
      <c r="I127">
        <f t="shared" si="4"/>
        <v>7.9045948124614723E-3</v>
      </c>
      <c r="J127">
        <f t="shared" si="5"/>
        <v>14.460000000000008</v>
      </c>
    </row>
    <row r="128" spans="1:10" x14ac:dyDescent="0.25">
      <c r="A128" t="s">
        <v>18</v>
      </c>
      <c r="B128">
        <v>30</v>
      </c>
      <c r="C128">
        <v>14762.3</v>
      </c>
      <c r="D128">
        <v>151.44</v>
      </c>
      <c r="E128">
        <v>136.57</v>
      </c>
      <c r="F128">
        <v>6.8177000000000003</v>
      </c>
      <c r="G128">
        <v>0.01</v>
      </c>
      <c r="H128">
        <f t="shared" si="3"/>
        <v>1.0258564044898152E-2</v>
      </c>
      <c r="I128">
        <f t="shared" si="4"/>
        <v>9.2512684337806433E-3</v>
      </c>
      <c r="J128">
        <f t="shared" si="5"/>
        <v>14.870000000000005</v>
      </c>
    </row>
    <row r="129" spans="1:10" x14ac:dyDescent="0.25">
      <c r="A129" t="s">
        <v>18</v>
      </c>
      <c r="B129">
        <v>35</v>
      </c>
      <c r="C129">
        <v>14762.3</v>
      </c>
      <c r="D129">
        <v>185.79</v>
      </c>
      <c r="E129">
        <v>169.46</v>
      </c>
      <c r="F129">
        <v>7.1798999999999999</v>
      </c>
      <c r="G129">
        <v>0.01</v>
      </c>
      <c r="H129">
        <f t="shared" si="3"/>
        <v>1.2585437228616138E-2</v>
      </c>
      <c r="I129">
        <f t="shared" si="4"/>
        <v>1.1479241039675391E-2</v>
      </c>
      <c r="J129">
        <f t="shared" si="5"/>
        <v>16.329999999999984</v>
      </c>
    </row>
    <row r="130" spans="1:10" x14ac:dyDescent="0.25">
      <c r="A130" t="s">
        <v>18</v>
      </c>
      <c r="B130">
        <v>40</v>
      </c>
      <c r="C130">
        <v>14762.3</v>
      </c>
      <c r="D130">
        <v>192.75</v>
      </c>
      <c r="E130">
        <v>174.5</v>
      </c>
      <c r="F130">
        <v>7.1337999999999999</v>
      </c>
      <c r="G130">
        <v>1.0999999999999999E-2</v>
      </c>
      <c r="H130">
        <f t="shared" si="3"/>
        <v>1.3056908476321441E-2</v>
      </c>
      <c r="I130">
        <f t="shared" si="4"/>
        <v>1.1820651253530955E-2</v>
      </c>
      <c r="J130">
        <f t="shared" si="5"/>
        <v>18.25</v>
      </c>
    </row>
    <row r="131" spans="1:10" x14ac:dyDescent="0.25">
      <c r="A131" t="s">
        <v>18</v>
      </c>
      <c r="B131">
        <v>45</v>
      </c>
      <c r="C131">
        <v>14762.3</v>
      </c>
      <c r="D131">
        <v>198.69</v>
      </c>
      <c r="E131">
        <v>177.78</v>
      </c>
      <c r="F131">
        <v>7.3620999999999999</v>
      </c>
      <c r="G131">
        <v>0.01</v>
      </c>
      <c r="H131">
        <f t="shared" ref="H131:H194" si="6">D131/C131</f>
        <v>1.345928479979407E-2</v>
      </c>
      <c r="I131">
        <f t="shared" ref="I131:I194" si="7">E131/C131</f>
        <v>1.2042838853024259E-2</v>
      </c>
      <c r="J131">
        <f t="shared" ref="J131:J194" si="8">D131-E131</f>
        <v>20.909999999999997</v>
      </c>
    </row>
    <row r="132" spans="1:10" x14ac:dyDescent="0.25">
      <c r="A132" t="s">
        <v>18</v>
      </c>
      <c r="B132">
        <v>50</v>
      </c>
      <c r="C132">
        <v>14762.3</v>
      </c>
      <c r="D132">
        <v>204.74</v>
      </c>
      <c r="E132">
        <v>181.53</v>
      </c>
      <c r="F132">
        <v>7.3958000000000004</v>
      </c>
      <c r="G132">
        <v>1.0999999999999999E-2</v>
      </c>
      <c r="H132">
        <f t="shared" si="6"/>
        <v>1.3869112536664343E-2</v>
      </c>
      <c r="I132">
        <f t="shared" si="7"/>
        <v>1.229686430976203E-2</v>
      </c>
      <c r="J132">
        <f t="shared" si="8"/>
        <v>23.210000000000008</v>
      </c>
    </row>
    <row r="133" spans="1:10" x14ac:dyDescent="0.25">
      <c r="A133" t="s">
        <v>18</v>
      </c>
      <c r="B133">
        <v>55</v>
      </c>
      <c r="C133">
        <v>14762.3</v>
      </c>
      <c r="D133">
        <v>218.96</v>
      </c>
      <c r="E133">
        <v>197.41</v>
      </c>
      <c r="F133">
        <v>7.4680999999999997</v>
      </c>
      <c r="G133">
        <v>1.2E-2</v>
      </c>
      <c r="H133">
        <f t="shared" si="6"/>
        <v>1.4832377068613971E-2</v>
      </c>
      <c r="I133">
        <f t="shared" si="7"/>
        <v>1.3372577443894244E-2</v>
      </c>
      <c r="J133">
        <f t="shared" si="8"/>
        <v>21.550000000000011</v>
      </c>
    </row>
    <row r="134" spans="1:10" x14ac:dyDescent="0.25">
      <c r="A134" t="s">
        <v>18</v>
      </c>
      <c r="B134">
        <v>60</v>
      </c>
      <c r="C134">
        <v>14762.3</v>
      </c>
      <c r="D134">
        <v>424.73</v>
      </c>
      <c r="E134">
        <v>411.47</v>
      </c>
      <c r="F134">
        <v>8.5661000000000005</v>
      </c>
      <c r="G134">
        <v>1.2E-2</v>
      </c>
      <c r="H134">
        <f t="shared" si="6"/>
        <v>2.8771261930728955E-2</v>
      </c>
      <c r="I134">
        <f t="shared" si="7"/>
        <v>2.7873027915704195E-2</v>
      </c>
      <c r="J134">
        <f t="shared" si="8"/>
        <v>13.259999999999991</v>
      </c>
    </row>
    <row r="135" spans="1:10" x14ac:dyDescent="0.25">
      <c r="A135" t="s">
        <v>18</v>
      </c>
      <c r="B135">
        <v>65</v>
      </c>
      <c r="C135">
        <v>14762.3</v>
      </c>
      <c r="D135">
        <v>523.87</v>
      </c>
      <c r="E135">
        <v>496.21</v>
      </c>
      <c r="F135">
        <v>9.0165000000000006</v>
      </c>
      <c r="G135">
        <v>1.2E-2</v>
      </c>
      <c r="H135">
        <f t="shared" si="6"/>
        <v>3.5487017605657659E-2</v>
      </c>
      <c r="I135">
        <f t="shared" si="7"/>
        <v>3.3613325836759855E-2</v>
      </c>
      <c r="J135">
        <f t="shared" si="8"/>
        <v>27.660000000000025</v>
      </c>
    </row>
    <row r="136" spans="1:10" x14ac:dyDescent="0.25">
      <c r="A136" t="s">
        <v>18</v>
      </c>
      <c r="B136">
        <v>70</v>
      </c>
      <c r="C136">
        <v>14762.3</v>
      </c>
      <c r="D136">
        <v>541.24</v>
      </c>
      <c r="E136">
        <v>507.11</v>
      </c>
      <c r="F136">
        <v>9.2220999999999993</v>
      </c>
      <c r="G136">
        <v>1.2999999999999999E-2</v>
      </c>
      <c r="H136">
        <f t="shared" si="6"/>
        <v>3.6663663521267015E-2</v>
      </c>
      <c r="I136">
        <f t="shared" si="7"/>
        <v>3.4351693164344312E-2</v>
      </c>
      <c r="J136">
        <f t="shared" si="8"/>
        <v>34.129999999999995</v>
      </c>
    </row>
    <row r="137" spans="1:10" x14ac:dyDescent="0.25">
      <c r="A137" t="s">
        <v>18</v>
      </c>
      <c r="B137">
        <v>75</v>
      </c>
      <c r="C137">
        <v>14762.3</v>
      </c>
      <c r="D137">
        <v>570.17999999999995</v>
      </c>
      <c r="E137">
        <v>526.52</v>
      </c>
      <c r="F137">
        <v>9.2836999999999996</v>
      </c>
      <c r="G137">
        <v>1.4E-2</v>
      </c>
      <c r="H137">
        <f t="shared" si="6"/>
        <v>3.8624062646064633E-2</v>
      </c>
      <c r="I137">
        <f t="shared" si="7"/>
        <v>3.5666528928419011E-2</v>
      </c>
      <c r="J137">
        <f t="shared" si="8"/>
        <v>43.659999999999968</v>
      </c>
    </row>
    <row r="138" spans="1:10" x14ac:dyDescent="0.25">
      <c r="A138" t="s">
        <v>18</v>
      </c>
      <c r="B138">
        <v>80</v>
      </c>
      <c r="C138">
        <v>14762.3</v>
      </c>
      <c r="D138">
        <v>593.91</v>
      </c>
      <c r="E138">
        <v>547.5</v>
      </c>
      <c r="F138">
        <v>9.3213000000000008</v>
      </c>
      <c r="G138">
        <v>1.2999999999999999E-2</v>
      </c>
      <c r="H138">
        <f t="shared" si="6"/>
        <v>4.0231535736301255E-2</v>
      </c>
      <c r="I138">
        <f t="shared" si="7"/>
        <v>3.7087716683714599E-2</v>
      </c>
      <c r="J138">
        <f t="shared" si="8"/>
        <v>46.409999999999968</v>
      </c>
    </row>
    <row r="139" spans="1:10" x14ac:dyDescent="0.25">
      <c r="A139" t="s">
        <v>18</v>
      </c>
      <c r="B139">
        <v>85</v>
      </c>
      <c r="C139">
        <v>14762.3</v>
      </c>
      <c r="D139">
        <v>630.11</v>
      </c>
      <c r="E139">
        <v>590.63</v>
      </c>
      <c r="F139">
        <v>9.3625000000000007</v>
      </c>
      <c r="G139">
        <v>1.2999999999999999E-2</v>
      </c>
      <c r="H139">
        <f t="shared" si="6"/>
        <v>4.2683728145343207E-2</v>
      </c>
      <c r="I139">
        <f t="shared" si="7"/>
        <v>4.0009348136807954E-2</v>
      </c>
      <c r="J139">
        <f t="shared" si="8"/>
        <v>39.480000000000018</v>
      </c>
    </row>
    <row r="140" spans="1:10" x14ac:dyDescent="0.25">
      <c r="A140" t="s">
        <v>18</v>
      </c>
      <c r="B140">
        <v>90</v>
      </c>
      <c r="C140">
        <v>14762.3</v>
      </c>
      <c r="D140">
        <v>844.37</v>
      </c>
      <c r="E140">
        <v>798.17</v>
      </c>
      <c r="F140">
        <v>9.4817</v>
      </c>
      <c r="G140">
        <v>1.4999999999999999E-2</v>
      </c>
      <c r="H140">
        <f t="shared" si="6"/>
        <v>5.7197726641512507E-2</v>
      </c>
      <c r="I140">
        <f t="shared" si="7"/>
        <v>5.406813301450316E-2</v>
      </c>
      <c r="J140">
        <f t="shared" si="8"/>
        <v>46.200000000000045</v>
      </c>
    </row>
    <row r="141" spans="1:10" x14ac:dyDescent="0.25">
      <c r="A141" t="s">
        <v>18</v>
      </c>
      <c r="B141">
        <v>95</v>
      </c>
      <c r="C141">
        <v>14762.3</v>
      </c>
      <c r="D141">
        <v>1144.1400000000001</v>
      </c>
      <c r="E141">
        <v>1053.76</v>
      </c>
      <c r="F141">
        <v>9.9827999999999992</v>
      </c>
      <c r="G141">
        <v>1.6E-2</v>
      </c>
      <c r="H141">
        <f t="shared" si="6"/>
        <v>7.7504182952520956E-2</v>
      </c>
      <c r="I141">
        <f t="shared" si="7"/>
        <v>7.138183074453168E-2</v>
      </c>
      <c r="J141">
        <f t="shared" si="8"/>
        <v>90.380000000000109</v>
      </c>
    </row>
    <row r="142" spans="1:10" x14ac:dyDescent="0.25">
      <c r="A142" t="s">
        <v>12</v>
      </c>
      <c r="B142">
        <v>0</v>
      </c>
      <c r="C142">
        <v>355.14</v>
      </c>
      <c r="D142">
        <v>42.46</v>
      </c>
      <c r="E142">
        <v>38.299999999999997</v>
      </c>
      <c r="F142">
        <v>2.6141000000000001</v>
      </c>
      <c r="G142">
        <v>5.0000000000000001E-3</v>
      </c>
      <c r="H142">
        <f t="shared" si="6"/>
        <v>0.11955848397814947</v>
      </c>
      <c r="I142">
        <f t="shared" si="7"/>
        <v>0.10784479360252294</v>
      </c>
      <c r="J142">
        <f t="shared" si="8"/>
        <v>4.1600000000000037</v>
      </c>
    </row>
    <row r="143" spans="1:10" x14ac:dyDescent="0.25">
      <c r="A143" t="s">
        <v>12</v>
      </c>
      <c r="B143">
        <v>5</v>
      </c>
      <c r="C143">
        <v>355.14</v>
      </c>
      <c r="D143">
        <v>50.99</v>
      </c>
      <c r="E143">
        <v>45.85</v>
      </c>
      <c r="F143">
        <v>2.6252</v>
      </c>
      <c r="G143">
        <v>4.0000000000000001E-3</v>
      </c>
      <c r="H143">
        <f t="shared" si="6"/>
        <v>0.14357718083009519</v>
      </c>
      <c r="I143">
        <f t="shared" si="7"/>
        <v>0.1291040153179028</v>
      </c>
      <c r="J143">
        <f t="shared" si="8"/>
        <v>5.1400000000000006</v>
      </c>
    </row>
    <row r="144" spans="1:10" x14ac:dyDescent="0.25">
      <c r="A144" t="s">
        <v>12</v>
      </c>
      <c r="B144">
        <v>10</v>
      </c>
      <c r="C144">
        <v>355.14</v>
      </c>
      <c r="D144">
        <v>69.88</v>
      </c>
      <c r="E144">
        <v>62.59</v>
      </c>
      <c r="F144">
        <v>2.7458999999999998</v>
      </c>
      <c r="G144">
        <v>4.0000000000000001E-3</v>
      </c>
      <c r="H144">
        <f t="shared" si="6"/>
        <v>0.19676747198288</v>
      </c>
      <c r="I144">
        <f t="shared" si="7"/>
        <v>0.17624035591597681</v>
      </c>
      <c r="J144">
        <f t="shared" si="8"/>
        <v>7.289999999999992</v>
      </c>
    </row>
    <row r="145" spans="1:10" x14ac:dyDescent="0.25">
      <c r="A145" t="s">
        <v>12</v>
      </c>
      <c r="B145">
        <v>15</v>
      </c>
      <c r="C145">
        <v>355.14</v>
      </c>
      <c r="D145">
        <v>86.14</v>
      </c>
      <c r="E145">
        <v>77.56</v>
      </c>
      <c r="F145">
        <v>2.8298999999999999</v>
      </c>
      <c r="G145">
        <v>6.0000000000000001E-3</v>
      </c>
      <c r="H145">
        <f t="shared" si="6"/>
        <v>0.24255223292222786</v>
      </c>
      <c r="I145">
        <f t="shared" si="7"/>
        <v>0.21839274652249818</v>
      </c>
      <c r="J145">
        <f t="shared" si="8"/>
        <v>8.5799999999999983</v>
      </c>
    </row>
    <row r="146" spans="1:10" x14ac:dyDescent="0.25">
      <c r="A146" t="s">
        <v>12</v>
      </c>
      <c r="B146">
        <v>20</v>
      </c>
      <c r="C146">
        <v>355.14</v>
      </c>
      <c r="D146">
        <v>101.1</v>
      </c>
      <c r="E146">
        <v>91.11</v>
      </c>
      <c r="F146">
        <v>2.9115000000000002</v>
      </c>
      <c r="G146">
        <v>4.0000000000000001E-3</v>
      </c>
      <c r="H146">
        <f t="shared" si="6"/>
        <v>0.28467646561919241</v>
      </c>
      <c r="I146">
        <f t="shared" si="7"/>
        <v>0.25654671397195472</v>
      </c>
      <c r="J146">
        <f t="shared" si="8"/>
        <v>9.9899999999999949</v>
      </c>
    </row>
    <row r="147" spans="1:10" x14ac:dyDescent="0.25">
      <c r="A147" t="s">
        <v>12</v>
      </c>
      <c r="B147">
        <v>25</v>
      </c>
      <c r="C147">
        <v>355.14</v>
      </c>
      <c r="D147">
        <v>115.58</v>
      </c>
      <c r="E147">
        <v>104.54</v>
      </c>
      <c r="F147">
        <v>2.9487000000000001</v>
      </c>
      <c r="G147">
        <v>5.0000000000000001E-3</v>
      </c>
      <c r="H147">
        <f t="shared" si="6"/>
        <v>0.32544911865743087</v>
      </c>
      <c r="I147">
        <f t="shared" si="7"/>
        <v>0.29436278650672976</v>
      </c>
      <c r="J147">
        <f t="shared" si="8"/>
        <v>11.039999999999992</v>
      </c>
    </row>
    <row r="148" spans="1:10" x14ac:dyDescent="0.25">
      <c r="A148" t="s">
        <v>12</v>
      </c>
      <c r="B148">
        <v>30</v>
      </c>
      <c r="C148">
        <v>355.14</v>
      </c>
      <c r="D148">
        <v>128.41</v>
      </c>
      <c r="E148">
        <v>116.27</v>
      </c>
      <c r="F148">
        <v>3.0402</v>
      </c>
      <c r="G148">
        <v>5.0000000000000001E-3</v>
      </c>
      <c r="H148">
        <f t="shared" si="6"/>
        <v>0.36157571661879823</v>
      </c>
      <c r="I148">
        <f t="shared" si="7"/>
        <v>0.32739201441684967</v>
      </c>
      <c r="J148">
        <f t="shared" si="8"/>
        <v>12.14</v>
      </c>
    </row>
    <row r="149" spans="1:10" x14ac:dyDescent="0.25">
      <c r="A149" t="s">
        <v>12</v>
      </c>
      <c r="B149">
        <v>35</v>
      </c>
      <c r="C149">
        <v>355.14</v>
      </c>
      <c r="D149">
        <v>143.56</v>
      </c>
      <c r="E149">
        <v>130.87</v>
      </c>
      <c r="F149">
        <v>3.1019999999999999</v>
      </c>
      <c r="G149">
        <v>5.0000000000000001E-3</v>
      </c>
      <c r="H149">
        <f t="shared" si="6"/>
        <v>0.40423494959734191</v>
      </c>
      <c r="I149">
        <f t="shared" si="7"/>
        <v>0.36850256236976969</v>
      </c>
      <c r="J149">
        <f t="shared" si="8"/>
        <v>12.689999999999998</v>
      </c>
    </row>
    <row r="150" spans="1:10" x14ac:dyDescent="0.25">
      <c r="A150" t="s">
        <v>12</v>
      </c>
      <c r="B150">
        <v>40</v>
      </c>
      <c r="C150">
        <v>355.14</v>
      </c>
      <c r="D150">
        <v>152.91</v>
      </c>
      <c r="E150">
        <v>139.31</v>
      </c>
      <c r="F150">
        <v>3.1274999999999999</v>
      </c>
      <c r="G150">
        <v>5.3E-3</v>
      </c>
      <c r="H150">
        <f t="shared" si="6"/>
        <v>0.43056259503294475</v>
      </c>
      <c r="I150">
        <f t="shared" si="7"/>
        <v>0.39226783803570425</v>
      </c>
      <c r="J150">
        <f t="shared" si="8"/>
        <v>13.599999999999994</v>
      </c>
    </row>
    <row r="151" spans="1:10" x14ac:dyDescent="0.25">
      <c r="A151" t="s">
        <v>12</v>
      </c>
      <c r="B151">
        <v>45</v>
      </c>
      <c r="C151">
        <v>355.14</v>
      </c>
      <c r="D151">
        <v>162.57</v>
      </c>
      <c r="E151">
        <v>147.97</v>
      </c>
      <c r="F151">
        <v>3.2616999999999998</v>
      </c>
      <c r="G151">
        <v>5.0000000000000001E-3</v>
      </c>
      <c r="H151">
        <f t="shared" si="6"/>
        <v>0.45776313566480825</v>
      </c>
      <c r="I151">
        <f t="shared" si="7"/>
        <v>0.41665258771188829</v>
      </c>
      <c r="J151">
        <f t="shared" si="8"/>
        <v>14.599999999999994</v>
      </c>
    </row>
    <row r="152" spans="1:10" x14ac:dyDescent="0.25">
      <c r="A152" t="s">
        <v>12</v>
      </c>
      <c r="B152">
        <v>50</v>
      </c>
      <c r="C152">
        <v>355.14</v>
      </c>
      <c r="D152">
        <v>172.21</v>
      </c>
      <c r="E152">
        <v>157.1</v>
      </c>
      <c r="F152">
        <v>3.2654999999999998</v>
      </c>
      <c r="G152">
        <v>6.0000000000000001E-3</v>
      </c>
      <c r="H152">
        <f t="shared" si="6"/>
        <v>0.48490736047755817</v>
      </c>
      <c r="I152">
        <f t="shared" si="7"/>
        <v>0.44236075913724165</v>
      </c>
      <c r="J152">
        <f t="shared" si="8"/>
        <v>15.110000000000014</v>
      </c>
    </row>
    <row r="153" spans="1:10" x14ac:dyDescent="0.25">
      <c r="A153" t="s">
        <v>12</v>
      </c>
      <c r="B153">
        <v>55</v>
      </c>
      <c r="C153">
        <v>355.14</v>
      </c>
      <c r="D153">
        <v>184.38</v>
      </c>
      <c r="E153">
        <v>168.43</v>
      </c>
      <c r="F153">
        <v>3.2827999999999999</v>
      </c>
      <c r="G153">
        <v>5.0000000000000001E-3</v>
      </c>
      <c r="H153">
        <f t="shared" si="6"/>
        <v>0.51917553640817704</v>
      </c>
      <c r="I153">
        <f t="shared" si="7"/>
        <v>0.47426367066508984</v>
      </c>
      <c r="J153">
        <f t="shared" si="8"/>
        <v>15.949999999999989</v>
      </c>
    </row>
    <row r="154" spans="1:10" x14ac:dyDescent="0.25">
      <c r="A154" t="s">
        <v>12</v>
      </c>
      <c r="B154">
        <v>60</v>
      </c>
      <c r="C154">
        <v>355.14</v>
      </c>
      <c r="D154">
        <v>200.47</v>
      </c>
      <c r="E154">
        <v>184.36</v>
      </c>
      <c r="F154">
        <v>3.3448000000000002</v>
      </c>
      <c r="G154">
        <v>4.5999999999999999E-3</v>
      </c>
      <c r="H154">
        <f t="shared" si="6"/>
        <v>0.56448161288505938</v>
      </c>
      <c r="I154">
        <f t="shared" si="7"/>
        <v>0.51911922058906357</v>
      </c>
      <c r="J154">
        <f t="shared" si="8"/>
        <v>16.109999999999985</v>
      </c>
    </row>
    <row r="155" spans="1:10" x14ac:dyDescent="0.25">
      <c r="A155" t="s">
        <v>12</v>
      </c>
      <c r="B155">
        <v>65</v>
      </c>
      <c r="C155">
        <v>355.14</v>
      </c>
      <c r="D155">
        <v>224.52</v>
      </c>
      <c r="E155">
        <v>206.41</v>
      </c>
      <c r="F155">
        <v>3.4184999999999999</v>
      </c>
      <c r="G155">
        <v>5.0000000000000001E-3</v>
      </c>
      <c r="H155">
        <f t="shared" si="6"/>
        <v>0.63220138536915027</v>
      </c>
      <c r="I155">
        <f t="shared" si="7"/>
        <v>0.58120741116179531</v>
      </c>
      <c r="J155">
        <f t="shared" si="8"/>
        <v>18.110000000000014</v>
      </c>
    </row>
    <row r="156" spans="1:10" x14ac:dyDescent="0.25">
      <c r="A156" t="s">
        <v>12</v>
      </c>
      <c r="B156">
        <v>70</v>
      </c>
      <c r="C156">
        <v>355.14</v>
      </c>
      <c r="D156">
        <v>242.92</v>
      </c>
      <c r="E156">
        <v>223.28</v>
      </c>
      <c r="F156">
        <v>3.5577000000000001</v>
      </c>
      <c r="G156">
        <v>6.0000000000000001E-3</v>
      </c>
      <c r="H156">
        <f t="shared" si="6"/>
        <v>0.68401193895365209</v>
      </c>
      <c r="I156">
        <f t="shared" si="7"/>
        <v>0.62870980458410775</v>
      </c>
      <c r="J156">
        <f t="shared" si="8"/>
        <v>19.639999999999986</v>
      </c>
    </row>
    <row r="157" spans="1:10" x14ac:dyDescent="0.25">
      <c r="A157" t="s">
        <v>12</v>
      </c>
      <c r="B157">
        <v>75</v>
      </c>
      <c r="C157">
        <v>355.14</v>
      </c>
      <c r="D157">
        <v>267.76</v>
      </c>
      <c r="E157">
        <v>246.82</v>
      </c>
      <c r="F157">
        <v>3.7073</v>
      </c>
      <c r="G157">
        <v>6.0000000000000001E-3</v>
      </c>
      <c r="H157">
        <f t="shared" si="6"/>
        <v>0.75395618629272965</v>
      </c>
      <c r="I157">
        <f t="shared" si="7"/>
        <v>0.69499352368080192</v>
      </c>
      <c r="J157">
        <f t="shared" si="8"/>
        <v>20.939999999999998</v>
      </c>
    </row>
    <row r="158" spans="1:10" x14ac:dyDescent="0.25">
      <c r="A158" t="s">
        <v>12</v>
      </c>
      <c r="B158">
        <v>80</v>
      </c>
      <c r="C158">
        <v>355.14</v>
      </c>
      <c r="D158">
        <v>305.83</v>
      </c>
      <c r="E158">
        <v>282.42</v>
      </c>
      <c r="F158">
        <v>3.8628999999999998</v>
      </c>
      <c r="G158">
        <v>6.1999999999999998E-3</v>
      </c>
      <c r="H158">
        <f t="shared" si="6"/>
        <v>0.86115334797544629</v>
      </c>
      <c r="I158">
        <f t="shared" si="7"/>
        <v>0.79523568170299042</v>
      </c>
      <c r="J158">
        <f t="shared" si="8"/>
        <v>23.409999999999968</v>
      </c>
    </row>
    <row r="159" spans="1:10" x14ac:dyDescent="0.25">
      <c r="A159" t="s">
        <v>12</v>
      </c>
      <c r="B159">
        <v>85</v>
      </c>
      <c r="C159">
        <v>355.14</v>
      </c>
      <c r="D159">
        <v>341.28</v>
      </c>
      <c r="E159">
        <v>315.79000000000002</v>
      </c>
      <c r="F159">
        <v>3.9634</v>
      </c>
      <c r="G159">
        <v>6.0000000000000001E-3</v>
      </c>
      <c r="H159">
        <f t="shared" si="6"/>
        <v>0.9609731373542828</v>
      </c>
      <c r="I159">
        <f t="shared" si="7"/>
        <v>0.88919862589401377</v>
      </c>
      <c r="J159">
        <f t="shared" si="8"/>
        <v>25.489999999999952</v>
      </c>
    </row>
    <row r="160" spans="1:10" x14ac:dyDescent="0.25">
      <c r="A160" t="s">
        <v>12</v>
      </c>
      <c r="B160">
        <v>90</v>
      </c>
      <c r="C160">
        <v>355.14</v>
      </c>
      <c r="D160">
        <v>404.54</v>
      </c>
      <c r="E160">
        <v>373.58</v>
      </c>
      <c r="F160">
        <v>4.0198999999999998</v>
      </c>
      <c r="G160">
        <v>7.0000000000000001E-3</v>
      </c>
      <c r="H160">
        <f t="shared" si="6"/>
        <v>1.1391000732105649</v>
      </c>
      <c r="I160">
        <f t="shared" si="7"/>
        <v>1.0519231852227291</v>
      </c>
      <c r="J160">
        <f t="shared" si="8"/>
        <v>30.960000000000036</v>
      </c>
    </row>
    <row r="161" spans="1:10" x14ac:dyDescent="0.25">
      <c r="A161" t="s">
        <v>12</v>
      </c>
      <c r="B161">
        <v>95</v>
      </c>
      <c r="C161">
        <v>355.14</v>
      </c>
      <c r="D161">
        <v>541.26</v>
      </c>
      <c r="E161">
        <v>501.45</v>
      </c>
      <c r="F161">
        <v>4.1468999999999996</v>
      </c>
      <c r="G161">
        <v>7.0000000000000001E-3</v>
      </c>
      <c r="H161">
        <f t="shared" si="6"/>
        <v>1.5240750126710594</v>
      </c>
      <c r="I161">
        <f t="shared" si="7"/>
        <v>1.4119783747254604</v>
      </c>
      <c r="J161">
        <f t="shared" si="8"/>
        <v>39.81</v>
      </c>
    </row>
    <row r="162" spans="1:10" x14ac:dyDescent="0.25">
      <c r="A162" t="s">
        <v>13</v>
      </c>
      <c r="B162">
        <v>0</v>
      </c>
      <c r="C162">
        <v>578.6</v>
      </c>
      <c r="D162">
        <v>29.81</v>
      </c>
      <c r="E162">
        <v>26.94</v>
      </c>
      <c r="F162">
        <v>1.8907</v>
      </c>
      <c r="G162">
        <v>3.0000000000000001E-3</v>
      </c>
      <c r="H162">
        <f t="shared" si="6"/>
        <v>5.1520912547528511E-2</v>
      </c>
      <c r="I162">
        <f t="shared" si="7"/>
        <v>4.6560663670929828E-2</v>
      </c>
      <c r="J162">
        <f t="shared" si="8"/>
        <v>2.8699999999999974</v>
      </c>
    </row>
    <row r="163" spans="1:10" x14ac:dyDescent="0.25">
      <c r="A163" t="s">
        <v>13</v>
      </c>
      <c r="B163">
        <v>5</v>
      </c>
      <c r="C163">
        <v>578.6</v>
      </c>
      <c r="D163">
        <v>35.15</v>
      </c>
      <c r="E163">
        <v>31.61</v>
      </c>
      <c r="F163">
        <v>1.9644999999999999</v>
      </c>
      <c r="G163">
        <v>4.0000000000000001E-3</v>
      </c>
      <c r="H163">
        <f t="shared" si="6"/>
        <v>6.0750086415485648E-2</v>
      </c>
      <c r="I163">
        <f t="shared" si="7"/>
        <v>5.4631870031109572E-2</v>
      </c>
      <c r="J163">
        <f t="shared" si="8"/>
        <v>3.5399999999999991</v>
      </c>
    </row>
    <row r="164" spans="1:10" x14ac:dyDescent="0.25">
      <c r="A164" t="s">
        <v>13</v>
      </c>
      <c r="B164">
        <v>10</v>
      </c>
      <c r="C164">
        <v>578.6</v>
      </c>
      <c r="D164">
        <v>46.07</v>
      </c>
      <c r="E164">
        <v>41.29</v>
      </c>
      <c r="F164">
        <v>1.9915</v>
      </c>
      <c r="G164">
        <v>3.0000000000000001E-3</v>
      </c>
      <c r="H164">
        <f t="shared" si="6"/>
        <v>7.9623228482544064E-2</v>
      </c>
      <c r="I164">
        <f t="shared" si="7"/>
        <v>7.1361908053923256E-2</v>
      </c>
      <c r="J164">
        <f t="shared" si="8"/>
        <v>4.7800000000000011</v>
      </c>
    </row>
    <row r="165" spans="1:10" x14ac:dyDescent="0.25">
      <c r="A165" t="s">
        <v>13</v>
      </c>
      <c r="B165">
        <v>15</v>
      </c>
      <c r="C165">
        <v>578.6</v>
      </c>
      <c r="D165">
        <v>55.63</v>
      </c>
      <c r="E165">
        <v>49.95</v>
      </c>
      <c r="F165">
        <v>2.0701000000000001</v>
      </c>
      <c r="G165">
        <v>3.5999999999999999E-3</v>
      </c>
      <c r="H165">
        <f t="shared" si="6"/>
        <v>9.6145869339785694E-2</v>
      </c>
      <c r="I165">
        <f t="shared" si="7"/>
        <v>8.6329070169374356E-2</v>
      </c>
      <c r="J165">
        <f t="shared" si="8"/>
        <v>5.68</v>
      </c>
    </row>
    <row r="166" spans="1:10" x14ac:dyDescent="0.25">
      <c r="A166" t="s">
        <v>13</v>
      </c>
      <c r="B166">
        <v>20</v>
      </c>
      <c r="C166">
        <v>578.6</v>
      </c>
      <c r="D166">
        <v>63.89</v>
      </c>
      <c r="E166">
        <v>57.37</v>
      </c>
      <c r="F166">
        <v>2.109</v>
      </c>
      <c r="G166">
        <v>4.4000000000000003E-3</v>
      </c>
      <c r="H166">
        <f t="shared" si="6"/>
        <v>0.11042170756999654</v>
      </c>
      <c r="I166">
        <f t="shared" si="7"/>
        <v>9.9153128240580701E-2</v>
      </c>
      <c r="J166">
        <f t="shared" si="8"/>
        <v>6.5200000000000031</v>
      </c>
    </row>
    <row r="167" spans="1:10" x14ac:dyDescent="0.25">
      <c r="A167" t="s">
        <v>13</v>
      </c>
      <c r="B167">
        <v>25</v>
      </c>
      <c r="C167">
        <v>578.6</v>
      </c>
      <c r="D167">
        <v>71.959999999999994</v>
      </c>
      <c r="E167">
        <v>64.52</v>
      </c>
      <c r="F167">
        <v>2.1732999999999998</v>
      </c>
      <c r="G167">
        <v>4.4000000000000003E-3</v>
      </c>
      <c r="H167">
        <f t="shared" si="6"/>
        <v>0.12436916695471827</v>
      </c>
      <c r="I167">
        <f t="shared" si="7"/>
        <v>0.1115105426892499</v>
      </c>
      <c r="J167">
        <f t="shared" si="8"/>
        <v>7.4399999999999977</v>
      </c>
    </row>
    <row r="168" spans="1:10" x14ac:dyDescent="0.25">
      <c r="A168" t="s">
        <v>13</v>
      </c>
      <c r="B168">
        <v>30</v>
      </c>
      <c r="C168">
        <v>578.6</v>
      </c>
      <c r="D168">
        <v>79.38</v>
      </c>
      <c r="E168">
        <v>71.27</v>
      </c>
      <c r="F168">
        <v>2.1934999999999998</v>
      </c>
      <c r="G168">
        <v>4.0000000000000001E-3</v>
      </c>
      <c r="H168">
        <f t="shared" si="6"/>
        <v>0.13719322502592463</v>
      </c>
      <c r="I168">
        <f t="shared" si="7"/>
        <v>0.12317663325267887</v>
      </c>
      <c r="J168">
        <f t="shared" si="8"/>
        <v>8.11</v>
      </c>
    </row>
    <row r="169" spans="1:10" x14ac:dyDescent="0.25">
      <c r="A169" t="s">
        <v>13</v>
      </c>
      <c r="B169">
        <v>35</v>
      </c>
      <c r="C169">
        <v>578.6</v>
      </c>
      <c r="D169">
        <v>86.34</v>
      </c>
      <c r="E169">
        <v>77.77</v>
      </c>
      <c r="F169">
        <v>2.2507999999999999</v>
      </c>
      <c r="G169">
        <v>3.0000000000000001E-3</v>
      </c>
      <c r="H169">
        <f t="shared" si="6"/>
        <v>0.14922226062910474</v>
      </c>
      <c r="I169">
        <f t="shared" si="7"/>
        <v>0.13441064638783268</v>
      </c>
      <c r="J169">
        <f t="shared" si="8"/>
        <v>8.5700000000000074</v>
      </c>
    </row>
    <row r="170" spans="1:10" x14ac:dyDescent="0.25">
      <c r="A170" t="s">
        <v>13</v>
      </c>
      <c r="B170">
        <v>40</v>
      </c>
      <c r="C170">
        <v>578.6</v>
      </c>
      <c r="D170">
        <v>92.33</v>
      </c>
      <c r="E170">
        <v>83.19</v>
      </c>
      <c r="F170">
        <v>2.3108</v>
      </c>
      <c r="G170">
        <v>4.0000000000000001E-3</v>
      </c>
      <c r="H170">
        <f t="shared" si="6"/>
        <v>0.15957483581057724</v>
      </c>
      <c r="I170">
        <f t="shared" si="7"/>
        <v>0.14377808503283787</v>
      </c>
      <c r="J170">
        <f t="shared" si="8"/>
        <v>9.14</v>
      </c>
    </row>
    <row r="171" spans="1:10" x14ac:dyDescent="0.25">
      <c r="A171" t="s">
        <v>13</v>
      </c>
      <c r="B171">
        <v>45</v>
      </c>
      <c r="C171">
        <v>578.6</v>
      </c>
      <c r="D171">
        <v>99.45</v>
      </c>
      <c r="E171">
        <v>89.73</v>
      </c>
      <c r="F171">
        <v>2.3224999999999998</v>
      </c>
      <c r="G171">
        <v>4.0000000000000001E-3</v>
      </c>
      <c r="H171">
        <f t="shared" si="6"/>
        <v>0.17188040096785343</v>
      </c>
      <c r="I171">
        <f t="shared" si="7"/>
        <v>0.15508123055651574</v>
      </c>
      <c r="J171">
        <f t="shared" si="8"/>
        <v>9.7199999999999989</v>
      </c>
    </row>
    <row r="172" spans="1:10" x14ac:dyDescent="0.25">
      <c r="A172" t="s">
        <v>13</v>
      </c>
      <c r="B172">
        <v>50</v>
      </c>
      <c r="C172">
        <v>578.6</v>
      </c>
      <c r="D172">
        <v>105.32</v>
      </c>
      <c r="E172">
        <v>95.19</v>
      </c>
      <c r="F172">
        <v>2.3195999999999999</v>
      </c>
      <c r="G172">
        <v>3.0000000000000001E-3</v>
      </c>
      <c r="H172">
        <f t="shared" si="6"/>
        <v>0.18202557898375388</v>
      </c>
      <c r="I172">
        <f t="shared" si="7"/>
        <v>0.16451780159004492</v>
      </c>
      <c r="J172">
        <f t="shared" si="8"/>
        <v>10.129999999999995</v>
      </c>
    </row>
    <row r="173" spans="1:10" x14ac:dyDescent="0.25">
      <c r="A173" t="s">
        <v>13</v>
      </c>
      <c r="B173">
        <v>55</v>
      </c>
      <c r="C173">
        <v>578.6</v>
      </c>
      <c r="D173">
        <v>111.21</v>
      </c>
      <c r="E173">
        <v>100.84</v>
      </c>
      <c r="F173">
        <v>2.3342000000000001</v>
      </c>
      <c r="G173">
        <v>4.0000000000000001E-3</v>
      </c>
      <c r="H173">
        <f t="shared" si="6"/>
        <v>0.19220532319391634</v>
      </c>
      <c r="I173">
        <f t="shared" si="7"/>
        <v>0.17428275146906325</v>
      </c>
      <c r="J173">
        <f t="shared" si="8"/>
        <v>10.36999999999999</v>
      </c>
    </row>
    <row r="174" spans="1:10" x14ac:dyDescent="0.25">
      <c r="A174" t="s">
        <v>13</v>
      </c>
      <c r="B174">
        <v>60</v>
      </c>
      <c r="C174">
        <v>578.6</v>
      </c>
      <c r="D174">
        <v>118.92</v>
      </c>
      <c r="E174">
        <v>108.14</v>
      </c>
      <c r="F174">
        <v>2.3913000000000002</v>
      </c>
      <c r="G174">
        <v>4.0000000000000001E-3</v>
      </c>
      <c r="H174">
        <f t="shared" si="6"/>
        <v>0.20553059108192187</v>
      </c>
      <c r="I174">
        <f t="shared" si="7"/>
        <v>0.18689941237469754</v>
      </c>
      <c r="J174">
        <f t="shared" si="8"/>
        <v>10.780000000000001</v>
      </c>
    </row>
    <row r="175" spans="1:10" x14ac:dyDescent="0.25">
      <c r="A175" t="s">
        <v>13</v>
      </c>
      <c r="B175">
        <v>65</v>
      </c>
      <c r="C175">
        <v>578.6</v>
      </c>
      <c r="D175">
        <v>129.13</v>
      </c>
      <c r="E175">
        <v>117.37</v>
      </c>
      <c r="F175">
        <v>2.419</v>
      </c>
      <c r="G175">
        <v>4.0000000000000001E-3</v>
      </c>
      <c r="H175">
        <f t="shared" si="6"/>
        <v>0.22317663325267886</v>
      </c>
      <c r="I175">
        <f t="shared" si="7"/>
        <v>0.20285171102661598</v>
      </c>
      <c r="J175">
        <f t="shared" si="8"/>
        <v>11.759999999999991</v>
      </c>
    </row>
    <row r="176" spans="1:10" x14ac:dyDescent="0.25">
      <c r="A176" t="s">
        <v>13</v>
      </c>
      <c r="B176">
        <v>70</v>
      </c>
      <c r="C176">
        <v>578.6</v>
      </c>
      <c r="D176">
        <v>140.74</v>
      </c>
      <c r="E176">
        <v>128.47999999999999</v>
      </c>
      <c r="F176">
        <v>2.5026000000000002</v>
      </c>
      <c r="G176">
        <v>4.0000000000000001E-3</v>
      </c>
      <c r="H176">
        <f t="shared" si="6"/>
        <v>0.24324230902177671</v>
      </c>
      <c r="I176">
        <f t="shared" si="7"/>
        <v>0.22205323193916346</v>
      </c>
      <c r="J176">
        <f t="shared" si="8"/>
        <v>12.260000000000019</v>
      </c>
    </row>
    <row r="177" spans="1:10" x14ac:dyDescent="0.25">
      <c r="A177" t="s">
        <v>13</v>
      </c>
      <c r="B177">
        <v>75</v>
      </c>
      <c r="C177">
        <v>578.6</v>
      </c>
      <c r="D177">
        <v>154.34</v>
      </c>
      <c r="E177">
        <v>141.32</v>
      </c>
      <c r="F177">
        <v>2.5623999999999998</v>
      </c>
      <c r="G177">
        <v>3.8E-3</v>
      </c>
      <c r="H177">
        <f t="shared" si="6"/>
        <v>0.2667473211199447</v>
      </c>
      <c r="I177">
        <f t="shared" si="7"/>
        <v>0.24424472865537503</v>
      </c>
      <c r="J177">
        <f t="shared" si="8"/>
        <v>13.02000000000001</v>
      </c>
    </row>
    <row r="178" spans="1:10" x14ac:dyDescent="0.25">
      <c r="A178" t="s">
        <v>13</v>
      </c>
      <c r="B178">
        <v>80</v>
      </c>
      <c r="C178">
        <v>578.6</v>
      </c>
      <c r="D178">
        <v>176.58</v>
      </c>
      <c r="E178">
        <v>162.26</v>
      </c>
      <c r="F178">
        <v>2.6473</v>
      </c>
      <c r="G178">
        <v>4.0000000000000001E-3</v>
      </c>
      <c r="H178">
        <f t="shared" si="6"/>
        <v>0.30518492913930179</v>
      </c>
      <c r="I178">
        <f t="shared" si="7"/>
        <v>0.28043553404770133</v>
      </c>
      <c r="J178">
        <f t="shared" si="8"/>
        <v>14.320000000000022</v>
      </c>
    </row>
    <row r="179" spans="1:10" x14ac:dyDescent="0.25">
      <c r="A179" t="s">
        <v>13</v>
      </c>
      <c r="B179">
        <v>85</v>
      </c>
      <c r="C179">
        <v>578.6</v>
      </c>
      <c r="D179">
        <v>208.56</v>
      </c>
      <c r="E179">
        <v>192.6</v>
      </c>
      <c r="F179">
        <v>2.8311999999999999</v>
      </c>
      <c r="G179">
        <v>5.0000000000000001E-3</v>
      </c>
      <c r="H179">
        <f t="shared" si="6"/>
        <v>0.36045627376425854</v>
      </c>
      <c r="I179">
        <f t="shared" si="7"/>
        <v>0.33287245074317318</v>
      </c>
      <c r="J179">
        <f t="shared" si="8"/>
        <v>15.960000000000008</v>
      </c>
    </row>
    <row r="180" spans="1:10" x14ac:dyDescent="0.25">
      <c r="A180" t="s">
        <v>13</v>
      </c>
      <c r="B180">
        <v>90</v>
      </c>
      <c r="C180">
        <v>578.6</v>
      </c>
      <c r="D180">
        <v>271.25</v>
      </c>
      <c r="E180">
        <v>249.98</v>
      </c>
      <c r="F180">
        <v>3.0602999999999998</v>
      </c>
      <c r="G180">
        <v>4.0000000000000001E-3</v>
      </c>
      <c r="H180">
        <f t="shared" si="6"/>
        <v>0.46880400967853436</v>
      </c>
      <c r="I180">
        <f t="shared" si="7"/>
        <v>0.43204286208088488</v>
      </c>
      <c r="J180">
        <f t="shared" si="8"/>
        <v>21.27000000000001</v>
      </c>
    </row>
    <row r="181" spans="1:10" x14ac:dyDescent="0.25">
      <c r="A181" t="s">
        <v>13</v>
      </c>
      <c r="B181">
        <v>95</v>
      </c>
      <c r="C181">
        <v>578.6</v>
      </c>
      <c r="D181">
        <v>422.98</v>
      </c>
      <c r="E181">
        <v>387.51</v>
      </c>
      <c r="F181">
        <v>3.6614</v>
      </c>
      <c r="G181">
        <v>6.0000000000000001E-3</v>
      </c>
      <c r="H181">
        <f t="shared" si="6"/>
        <v>0.73104044244728661</v>
      </c>
      <c r="I181">
        <f t="shared" si="7"/>
        <v>0.66973729692360862</v>
      </c>
      <c r="J181">
        <f t="shared" si="8"/>
        <v>35.470000000000027</v>
      </c>
    </row>
    <row r="182" spans="1:10" x14ac:dyDescent="0.25">
      <c r="A182" t="s">
        <v>17</v>
      </c>
      <c r="B182">
        <v>0</v>
      </c>
      <c r="C182">
        <v>14762.3</v>
      </c>
      <c r="D182">
        <v>106.96</v>
      </c>
      <c r="E182">
        <v>97</v>
      </c>
      <c r="F182">
        <v>6.4945000000000004</v>
      </c>
      <c r="G182">
        <v>8.9999999999999993E-3</v>
      </c>
      <c r="H182">
        <f t="shared" si="6"/>
        <v>7.245483427379202E-3</v>
      </c>
      <c r="I182">
        <f t="shared" si="7"/>
        <v>6.5707918142836825E-3</v>
      </c>
      <c r="J182">
        <f t="shared" si="8"/>
        <v>9.9599999999999937</v>
      </c>
    </row>
    <row r="183" spans="1:10" x14ac:dyDescent="0.25">
      <c r="A183" t="s">
        <v>17</v>
      </c>
      <c r="B183">
        <v>5</v>
      </c>
      <c r="C183">
        <v>14762.3</v>
      </c>
      <c r="D183">
        <v>135.33000000000001</v>
      </c>
      <c r="E183">
        <v>123.57</v>
      </c>
      <c r="F183">
        <v>6.5914999999999999</v>
      </c>
      <c r="G183">
        <v>0.01</v>
      </c>
      <c r="H183">
        <f t="shared" si="6"/>
        <v>9.1672706827526894E-3</v>
      </c>
      <c r="I183">
        <f t="shared" si="7"/>
        <v>8.3706468504230365E-3</v>
      </c>
      <c r="J183">
        <f t="shared" si="8"/>
        <v>11.760000000000019</v>
      </c>
    </row>
    <row r="184" spans="1:10" x14ac:dyDescent="0.25">
      <c r="A184" t="s">
        <v>17</v>
      </c>
      <c r="B184">
        <v>10</v>
      </c>
      <c r="C184">
        <v>14762.3</v>
      </c>
      <c r="D184">
        <v>193.43</v>
      </c>
      <c r="E184">
        <v>178.4</v>
      </c>
      <c r="F184">
        <v>6.9739000000000004</v>
      </c>
      <c r="G184">
        <v>0.01</v>
      </c>
      <c r="H184">
        <f t="shared" si="6"/>
        <v>1.3102971759143224E-2</v>
      </c>
      <c r="I184">
        <f t="shared" si="7"/>
        <v>1.2084837728538238E-2</v>
      </c>
      <c r="J184">
        <f t="shared" si="8"/>
        <v>15.030000000000001</v>
      </c>
    </row>
    <row r="185" spans="1:10" x14ac:dyDescent="0.25">
      <c r="A185" t="s">
        <v>17</v>
      </c>
      <c r="B185">
        <v>15</v>
      </c>
      <c r="C185">
        <v>14762.3</v>
      </c>
      <c r="D185">
        <v>239.76</v>
      </c>
      <c r="E185">
        <v>221.13</v>
      </c>
      <c r="F185">
        <v>7.2129000000000003</v>
      </c>
      <c r="G185">
        <v>1.0999999999999999E-2</v>
      </c>
      <c r="H185">
        <f t="shared" si="6"/>
        <v>1.6241371601986139E-2</v>
      </c>
      <c r="I185">
        <f t="shared" si="7"/>
        <v>1.4979373132912893E-2</v>
      </c>
      <c r="J185">
        <f t="shared" si="8"/>
        <v>18.629999999999995</v>
      </c>
    </row>
    <row r="186" spans="1:10" x14ac:dyDescent="0.25">
      <c r="A186" t="s">
        <v>17</v>
      </c>
      <c r="B186">
        <v>20</v>
      </c>
      <c r="C186">
        <v>14762.3</v>
      </c>
      <c r="D186">
        <v>280.77999999999997</v>
      </c>
      <c r="E186">
        <v>258.18</v>
      </c>
      <c r="F186">
        <v>7.4645000000000001</v>
      </c>
      <c r="G186">
        <v>1.0999999999999999E-2</v>
      </c>
      <c r="H186">
        <f t="shared" si="6"/>
        <v>1.9020071398088374E-2</v>
      </c>
      <c r="I186">
        <f t="shared" si="7"/>
        <v>1.7489144645482072E-2</v>
      </c>
      <c r="J186">
        <f t="shared" si="8"/>
        <v>22.599999999999966</v>
      </c>
    </row>
    <row r="187" spans="1:10" x14ac:dyDescent="0.25">
      <c r="A187" t="s">
        <v>17</v>
      </c>
      <c r="B187">
        <v>25</v>
      </c>
      <c r="C187">
        <v>14762.3</v>
      </c>
      <c r="D187">
        <v>320.54000000000002</v>
      </c>
      <c r="E187">
        <v>294.3</v>
      </c>
      <c r="F187">
        <v>7.8131000000000004</v>
      </c>
      <c r="G187">
        <v>1.0999999999999999E-2</v>
      </c>
      <c r="H187">
        <f t="shared" si="6"/>
        <v>2.171341864072672E-2</v>
      </c>
      <c r="I187">
        <f t="shared" si="7"/>
        <v>1.9935917844780288E-2</v>
      </c>
      <c r="J187">
        <f t="shared" si="8"/>
        <v>26.240000000000009</v>
      </c>
    </row>
    <row r="188" spans="1:10" x14ac:dyDescent="0.25">
      <c r="A188" t="s">
        <v>17</v>
      </c>
      <c r="B188">
        <v>30</v>
      </c>
      <c r="C188">
        <v>14762.3</v>
      </c>
      <c r="D188">
        <v>355.06</v>
      </c>
      <c r="E188">
        <v>326.39999999999998</v>
      </c>
      <c r="F188">
        <v>7.8573000000000004</v>
      </c>
      <c r="G188">
        <v>1.2E-2</v>
      </c>
      <c r="H188">
        <f t="shared" si="6"/>
        <v>2.4051807645150147E-2</v>
      </c>
      <c r="I188">
        <f t="shared" si="7"/>
        <v>2.2110375754455607E-2</v>
      </c>
      <c r="J188">
        <f t="shared" si="8"/>
        <v>28.660000000000025</v>
      </c>
    </row>
    <row r="189" spans="1:10" x14ac:dyDescent="0.25">
      <c r="A189" t="s">
        <v>17</v>
      </c>
      <c r="B189">
        <v>35</v>
      </c>
      <c r="C189">
        <v>14762.3</v>
      </c>
      <c r="D189">
        <v>411.56</v>
      </c>
      <c r="E189">
        <v>379.33</v>
      </c>
      <c r="F189">
        <v>8.2483000000000004</v>
      </c>
      <c r="G189">
        <v>1.2E-2</v>
      </c>
      <c r="H189">
        <f t="shared" si="6"/>
        <v>2.78791245266659E-2</v>
      </c>
      <c r="I189">
        <f t="shared" si="7"/>
        <v>2.5695860401157001E-2</v>
      </c>
      <c r="J189">
        <f t="shared" si="8"/>
        <v>32.230000000000018</v>
      </c>
    </row>
    <row r="190" spans="1:10" x14ac:dyDescent="0.25">
      <c r="A190" t="s">
        <v>17</v>
      </c>
      <c r="B190">
        <v>40</v>
      </c>
      <c r="C190">
        <v>14762.3</v>
      </c>
      <c r="D190">
        <v>431.63</v>
      </c>
      <c r="E190">
        <v>396.7</v>
      </c>
      <c r="F190">
        <v>8.4238999999999997</v>
      </c>
      <c r="G190">
        <v>1.2999999999999999E-2</v>
      </c>
      <c r="H190">
        <f t="shared" si="6"/>
        <v>2.9238668771126453E-2</v>
      </c>
      <c r="I190">
        <f t="shared" si="7"/>
        <v>2.6872506316766357E-2</v>
      </c>
      <c r="J190">
        <f t="shared" si="8"/>
        <v>34.930000000000007</v>
      </c>
    </row>
    <row r="191" spans="1:10" x14ac:dyDescent="0.25">
      <c r="A191" t="s">
        <v>17</v>
      </c>
      <c r="B191">
        <v>45</v>
      </c>
      <c r="C191">
        <v>14762.3</v>
      </c>
      <c r="D191">
        <v>451.18</v>
      </c>
      <c r="E191">
        <v>412</v>
      </c>
      <c r="F191">
        <v>8.5200999999999993</v>
      </c>
      <c r="G191">
        <v>1.2E-2</v>
      </c>
      <c r="H191">
        <f t="shared" si="6"/>
        <v>3.0562988152252699E-2</v>
      </c>
      <c r="I191">
        <f t="shared" si="7"/>
        <v>2.7908930180256464E-2</v>
      </c>
      <c r="J191">
        <f t="shared" si="8"/>
        <v>39.180000000000007</v>
      </c>
    </row>
    <row r="192" spans="1:10" x14ac:dyDescent="0.25">
      <c r="A192" t="s">
        <v>17</v>
      </c>
      <c r="B192">
        <v>50</v>
      </c>
      <c r="C192">
        <v>14762.3</v>
      </c>
      <c r="D192">
        <v>470.83</v>
      </c>
      <c r="E192">
        <v>428.34</v>
      </c>
      <c r="F192">
        <v>8.4250000000000007</v>
      </c>
      <c r="G192">
        <v>1.2999999999999999E-2</v>
      </c>
      <c r="H192">
        <f t="shared" si="6"/>
        <v>3.1894081545558617E-2</v>
      </c>
      <c r="I192">
        <f t="shared" si="7"/>
        <v>2.9015803770415179E-2</v>
      </c>
      <c r="J192">
        <f t="shared" si="8"/>
        <v>42.490000000000009</v>
      </c>
    </row>
    <row r="193" spans="1:10" x14ac:dyDescent="0.25">
      <c r="A193" t="s">
        <v>17</v>
      </c>
      <c r="B193">
        <v>55</v>
      </c>
      <c r="C193">
        <v>14762.3</v>
      </c>
      <c r="D193">
        <v>495.55</v>
      </c>
      <c r="E193">
        <v>451.68</v>
      </c>
      <c r="F193">
        <v>8.7233999999999998</v>
      </c>
      <c r="G193">
        <v>1.2999999999999999E-2</v>
      </c>
      <c r="H193">
        <f t="shared" si="6"/>
        <v>3.3568617356374009E-2</v>
      </c>
      <c r="I193">
        <f t="shared" si="7"/>
        <v>3.0596858213151071E-2</v>
      </c>
      <c r="J193">
        <f t="shared" si="8"/>
        <v>43.870000000000005</v>
      </c>
    </row>
    <row r="194" spans="1:10" x14ac:dyDescent="0.25">
      <c r="A194" t="s">
        <v>17</v>
      </c>
      <c r="B194">
        <v>60</v>
      </c>
      <c r="C194">
        <v>14762.3</v>
      </c>
      <c r="D194">
        <v>654.53</v>
      </c>
      <c r="E194">
        <v>614.88</v>
      </c>
      <c r="F194">
        <v>9.7017000000000007</v>
      </c>
      <c r="G194">
        <v>1.4E-2</v>
      </c>
      <c r="H194">
        <f t="shared" si="6"/>
        <v>4.4337941919619574E-2</v>
      </c>
      <c r="I194">
        <f t="shared" si="7"/>
        <v>4.1652046090378869E-2</v>
      </c>
      <c r="J194">
        <f t="shared" si="8"/>
        <v>39.649999999999977</v>
      </c>
    </row>
    <row r="195" spans="1:10" x14ac:dyDescent="0.25">
      <c r="A195" t="s">
        <v>17</v>
      </c>
      <c r="B195">
        <v>65</v>
      </c>
      <c r="C195">
        <v>14762.3</v>
      </c>
      <c r="D195">
        <v>773.79</v>
      </c>
      <c r="E195">
        <v>720.99</v>
      </c>
      <c r="F195">
        <v>10.36</v>
      </c>
      <c r="G195">
        <v>1.4999999999999999E-2</v>
      </c>
      <c r="H195">
        <f t="shared" ref="H195:H241" si="9">D195/C195</f>
        <v>5.2416628845098664E-2</v>
      </c>
      <c r="I195">
        <f t="shared" ref="I195:I241" si="10">E195/C195</f>
        <v>4.8839950414230851E-2</v>
      </c>
      <c r="J195">
        <f t="shared" ref="J195:J241" si="11">D195-E195</f>
        <v>52.799999999999955</v>
      </c>
    </row>
    <row r="196" spans="1:10" x14ac:dyDescent="0.25">
      <c r="A196" t="s">
        <v>17</v>
      </c>
      <c r="B196">
        <v>70</v>
      </c>
      <c r="C196">
        <v>14762.3</v>
      </c>
      <c r="D196">
        <v>818.27</v>
      </c>
      <c r="E196">
        <v>759.79</v>
      </c>
      <c r="F196">
        <v>10.5025</v>
      </c>
      <c r="G196">
        <v>1.4999999999999999E-2</v>
      </c>
      <c r="H196">
        <f t="shared" si="9"/>
        <v>5.5429709462617618E-2</v>
      </c>
      <c r="I196">
        <f t="shared" si="10"/>
        <v>5.1468267139944318E-2</v>
      </c>
      <c r="J196">
        <f t="shared" si="11"/>
        <v>58.480000000000018</v>
      </c>
    </row>
    <row r="197" spans="1:10" x14ac:dyDescent="0.25">
      <c r="A197" t="s">
        <v>17</v>
      </c>
      <c r="B197">
        <v>75</v>
      </c>
      <c r="C197">
        <v>14762.3</v>
      </c>
      <c r="D197">
        <v>869.82</v>
      </c>
      <c r="E197">
        <v>803.81</v>
      </c>
      <c r="F197">
        <v>10.4991</v>
      </c>
      <c r="G197">
        <v>1.4999999999999999E-2</v>
      </c>
      <c r="H197">
        <f t="shared" si="9"/>
        <v>5.8921712741239515E-2</v>
      </c>
      <c r="I197">
        <f t="shared" si="10"/>
        <v>5.4450187301436768E-2</v>
      </c>
      <c r="J197">
        <f t="shared" si="11"/>
        <v>66.010000000000105</v>
      </c>
    </row>
    <row r="198" spans="1:10" x14ac:dyDescent="0.25">
      <c r="A198" t="s">
        <v>17</v>
      </c>
      <c r="B198">
        <v>80</v>
      </c>
      <c r="C198">
        <v>14762.3</v>
      </c>
      <c r="D198">
        <v>927.48</v>
      </c>
      <c r="E198">
        <v>855.83</v>
      </c>
      <c r="F198">
        <v>10.616300000000001</v>
      </c>
      <c r="G198">
        <v>1.4999999999999999E-2</v>
      </c>
      <c r="H198">
        <f t="shared" si="9"/>
        <v>6.2827608164039483E-2</v>
      </c>
      <c r="I198">
        <f t="shared" si="10"/>
        <v>5.7974028437303135E-2</v>
      </c>
      <c r="J198">
        <f t="shared" si="11"/>
        <v>71.649999999999977</v>
      </c>
    </row>
    <row r="199" spans="1:10" x14ac:dyDescent="0.25">
      <c r="A199" t="s">
        <v>17</v>
      </c>
      <c r="B199">
        <v>85</v>
      </c>
      <c r="C199">
        <v>14762.3</v>
      </c>
      <c r="D199">
        <v>1006.41</v>
      </c>
      <c r="E199">
        <v>935.07</v>
      </c>
      <c r="F199">
        <v>10.7173</v>
      </c>
      <c r="G199">
        <v>1.6E-2</v>
      </c>
      <c r="H199">
        <f t="shared" si="9"/>
        <v>6.8174335977456091E-2</v>
      </c>
      <c r="I199">
        <f t="shared" si="10"/>
        <v>6.3341755688476734E-2</v>
      </c>
      <c r="J199">
        <f t="shared" si="11"/>
        <v>71.339999999999918</v>
      </c>
    </row>
    <row r="200" spans="1:10" x14ac:dyDescent="0.25">
      <c r="A200" t="s">
        <v>17</v>
      </c>
      <c r="B200">
        <v>90</v>
      </c>
      <c r="C200">
        <v>14762.3</v>
      </c>
      <c r="D200">
        <v>1281.8800000000001</v>
      </c>
      <c r="E200">
        <v>1201.25</v>
      </c>
      <c r="F200">
        <v>10.834199999999999</v>
      </c>
      <c r="G200">
        <v>1.7000000000000001E-2</v>
      </c>
      <c r="H200">
        <f t="shared" si="9"/>
        <v>8.6834707328803787E-2</v>
      </c>
      <c r="I200">
        <f t="shared" si="10"/>
        <v>8.1372821308332718E-2</v>
      </c>
      <c r="J200">
        <f t="shared" si="11"/>
        <v>80.630000000000109</v>
      </c>
    </row>
    <row r="201" spans="1:10" x14ac:dyDescent="0.25">
      <c r="A201" t="s">
        <v>17</v>
      </c>
      <c r="B201">
        <v>95</v>
      </c>
      <c r="C201">
        <v>14762.3</v>
      </c>
      <c r="D201">
        <v>1712.26</v>
      </c>
      <c r="E201">
        <v>1583.61</v>
      </c>
      <c r="F201">
        <v>11.2942</v>
      </c>
      <c r="G201">
        <v>1.7999999999999999E-2</v>
      </c>
      <c r="H201">
        <f t="shared" si="9"/>
        <v>0.11598870094768431</v>
      </c>
      <c r="I201">
        <f t="shared" si="10"/>
        <v>0.10727393427853384</v>
      </c>
      <c r="J201">
        <f t="shared" si="11"/>
        <v>128.65000000000009</v>
      </c>
    </row>
    <row r="202" spans="1:10" x14ac:dyDescent="0.25">
      <c r="A202" t="s">
        <v>14</v>
      </c>
      <c r="B202">
        <v>0</v>
      </c>
      <c r="C202">
        <v>1865.26</v>
      </c>
      <c r="D202">
        <v>39.49</v>
      </c>
      <c r="E202">
        <v>36.19</v>
      </c>
      <c r="F202">
        <v>1.9617</v>
      </c>
      <c r="G202">
        <v>3.0000000000000001E-3</v>
      </c>
      <c r="H202">
        <f t="shared" si="9"/>
        <v>2.1171311238111577E-2</v>
      </c>
      <c r="I202">
        <f t="shared" si="10"/>
        <v>1.9402120883951834E-2</v>
      </c>
      <c r="J202">
        <f t="shared" si="11"/>
        <v>3.3000000000000043</v>
      </c>
    </row>
    <row r="203" spans="1:10" x14ac:dyDescent="0.25">
      <c r="A203" t="s">
        <v>14</v>
      </c>
      <c r="B203">
        <v>5</v>
      </c>
      <c r="C203">
        <v>1865.26</v>
      </c>
      <c r="D203">
        <v>49.92</v>
      </c>
      <c r="E203">
        <v>45.39</v>
      </c>
      <c r="F203">
        <v>2.0095000000000001</v>
      </c>
      <c r="G203">
        <v>3.0000000000000001E-3</v>
      </c>
      <c r="H203">
        <f t="shared" si="9"/>
        <v>2.6763024993834639E-2</v>
      </c>
      <c r="I203">
        <f t="shared" si="10"/>
        <v>2.433440914403354E-2</v>
      </c>
      <c r="J203">
        <f t="shared" si="11"/>
        <v>4.5300000000000011</v>
      </c>
    </row>
    <row r="204" spans="1:10" x14ac:dyDescent="0.25">
      <c r="A204" t="s">
        <v>14</v>
      </c>
      <c r="B204">
        <v>10</v>
      </c>
      <c r="C204">
        <v>1865.26</v>
      </c>
      <c r="D204">
        <v>71.599999999999994</v>
      </c>
      <c r="E204">
        <v>64.489999999999995</v>
      </c>
      <c r="F204">
        <v>2.1575000000000002</v>
      </c>
      <c r="G204">
        <v>3.0000000000000001E-3</v>
      </c>
      <c r="H204">
        <f t="shared" si="9"/>
        <v>3.8386069502375005E-2</v>
      </c>
      <c r="I204">
        <f t="shared" si="10"/>
        <v>3.457426846659447E-2</v>
      </c>
      <c r="J204">
        <f t="shared" si="11"/>
        <v>7.1099999999999994</v>
      </c>
    </row>
    <row r="205" spans="1:10" x14ac:dyDescent="0.25">
      <c r="A205" t="s">
        <v>14</v>
      </c>
      <c r="B205">
        <v>15</v>
      </c>
      <c r="C205">
        <v>1865.26</v>
      </c>
      <c r="D205">
        <v>90.7</v>
      </c>
      <c r="E205">
        <v>81.680000000000007</v>
      </c>
      <c r="F205">
        <v>2.2645</v>
      </c>
      <c r="G205">
        <v>3.0000000000000001E-3</v>
      </c>
      <c r="H205">
        <f t="shared" si="9"/>
        <v>4.8625928824935938E-2</v>
      </c>
      <c r="I205">
        <f t="shared" si="10"/>
        <v>4.3790141856899313E-2</v>
      </c>
      <c r="J205">
        <f t="shared" si="11"/>
        <v>9.019999999999996</v>
      </c>
    </row>
    <row r="206" spans="1:10" x14ac:dyDescent="0.25">
      <c r="A206" t="s">
        <v>14</v>
      </c>
      <c r="B206">
        <v>20</v>
      </c>
      <c r="C206">
        <v>1865.26</v>
      </c>
      <c r="D206">
        <v>107.72</v>
      </c>
      <c r="E206">
        <v>96.32</v>
      </c>
      <c r="F206">
        <v>2.3458999999999999</v>
      </c>
      <c r="G206">
        <v>4.0000000000000001E-3</v>
      </c>
      <c r="H206">
        <f t="shared" si="9"/>
        <v>5.7750662106087085E-2</v>
      </c>
      <c r="I206">
        <f t="shared" si="10"/>
        <v>5.1638913609898883E-2</v>
      </c>
      <c r="J206">
        <f t="shared" si="11"/>
        <v>11.400000000000006</v>
      </c>
    </row>
    <row r="207" spans="1:10" x14ac:dyDescent="0.25">
      <c r="A207" t="s">
        <v>14</v>
      </c>
      <c r="B207">
        <v>25</v>
      </c>
      <c r="C207">
        <v>1865.26</v>
      </c>
      <c r="D207">
        <v>123.91</v>
      </c>
      <c r="E207">
        <v>110.28</v>
      </c>
      <c r="F207">
        <v>2.4375</v>
      </c>
      <c r="G207">
        <v>4.0000000000000001E-3</v>
      </c>
      <c r="H207">
        <f t="shared" si="9"/>
        <v>6.6430417207252609E-2</v>
      </c>
      <c r="I207">
        <f t="shared" si="10"/>
        <v>5.9123124926283736E-2</v>
      </c>
      <c r="J207">
        <f t="shared" si="11"/>
        <v>13.629999999999995</v>
      </c>
    </row>
    <row r="208" spans="1:10" x14ac:dyDescent="0.25">
      <c r="A208" t="s">
        <v>14</v>
      </c>
      <c r="B208">
        <v>30</v>
      </c>
      <c r="C208">
        <v>1865.26</v>
      </c>
      <c r="D208">
        <v>138.63999999999999</v>
      </c>
      <c r="E208">
        <v>124.53</v>
      </c>
      <c r="F208">
        <v>2.5150999999999999</v>
      </c>
      <c r="G208">
        <v>4.0000000000000001E-3</v>
      </c>
      <c r="H208">
        <f t="shared" si="9"/>
        <v>7.432743960627472E-2</v>
      </c>
      <c r="I208">
        <f t="shared" si="10"/>
        <v>6.6762810546518989E-2</v>
      </c>
      <c r="J208">
        <f t="shared" si="11"/>
        <v>14.109999999999985</v>
      </c>
    </row>
    <row r="209" spans="1:10" x14ac:dyDescent="0.25">
      <c r="A209" t="s">
        <v>14</v>
      </c>
      <c r="B209">
        <v>35</v>
      </c>
      <c r="C209">
        <v>1865.26</v>
      </c>
      <c r="D209">
        <v>151.91</v>
      </c>
      <c r="E209">
        <v>138.04</v>
      </c>
      <c r="F209">
        <v>2.5747</v>
      </c>
      <c r="G209">
        <v>3.8999999999999998E-3</v>
      </c>
      <c r="H209">
        <f t="shared" si="9"/>
        <v>8.1441729303153451E-2</v>
      </c>
      <c r="I209">
        <f t="shared" si="10"/>
        <v>7.4005768632791138E-2</v>
      </c>
      <c r="J209">
        <f t="shared" si="11"/>
        <v>13.870000000000005</v>
      </c>
    </row>
    <row r="210" spans="1:10" x14ac:dyDescent="0.25">
      <c r="A210" t="s">
        <v>14</v>
      </c>
      <c r="B210">
        <v>40</v>
      </c>
      <c r="C210">
        <v>1865.26</v>
      </c>
      <c r="D210">
        <v>161.6</v>
      </c>
      <c r="E210">
        <v>147.74</v>
      </c>
      <c r="F210">
        <v>2.5909</v>
      </c>
      <c r="G210">
        <v>4.0000000000000001E-3</v>
      </c>
      <c r="H210">
        <f t="shared" si="9"/>
        <v>8.6636715524913407E-2</v>
      </c>
      <c r="I210">
        <f t="shared" si="10"/>
        <v>7.9206116037442501E-2</v>
      </c>
      <c r="J210">
        <f t="shared" si="11"/>
        <v>13.859999999999985</v>
      </c>
    </row>
    <row r="211" spans="1:10" x14ac:dyDescent="0.25">
      <c r="A211" t="s">
        <v>14</v>
      </c>
      <c r="B211">
        <v>45</v>
      </c>
      <c r="C211">
        <v>1865.26</v>
      </c>
      <c r="D211">
        <v>171.91</v>
      </c>
      <c r="E211">
        <v>157.84</v>
      </c>
      <c r="F211">
        <v>2.6179000000000001</v>
      </c>
      <c r="G211">
        <v>5.0000000000000001E-3</v>
      </c>
      <c r="H211">
        <f t="shared" si="9"/>
        <v>9.2164095085939757E-2</v>
      </c>
      <c r="I211">
        <f t="shared" si="10"/>
        <v>8.4620910757749593E-2</v>
      </c>
      <c r="J211">
        <f t="shared" si="11"/>
        <v>14.069999999999993</v>
      </c>
    </row>
    <row r="212" spans="1:10" x14ac:dyDescent="0.25">
      <c r="A212" t="s">
        <v>14</v>
      </c>
      <c r="B212">
        <v>50</v>
      </c>
      <c r="C212">
        <v>1865.26</v>
      </c>
      <c r="D212">
        <v>180.71</v>
      </c>
      <c r="E212">
        <v>166.54</v>
      </c>
      <c r="F212">
        <v>2.6655000000000002</v>
      </c>
      <c r="G212">
        <v>4.0000000000000001E-3</v>
      </c>
      <c r="H212">
        <f t="shared" si="9"/>
        <v>9.688193603036574E-2</v>
      </c>
      <c r="I212">
        <f t="shared" si="10"/>
        <v>8.9285139873261629E-2</v>
      </c>
      <c r="J212">
        <f t="shared" si="11"/>
        <v>14.170000000000016</v>
      </c>
    </row>
    <row r="213" spans="1:10" x14ac:dyDescent="0.25">
      <c r="A213" t="s">
        <v>14</v>
      </c>
      <c r="B213">
        <v>55</v>
      </c>
      <c r="C213">
        <v>1865.26</v>
      </c>
      <c r="D213">
        <v>190.02</v>
      </c>
      <c r="E213">
        <v>175.46</v>
      </c>
      <c r="F213">
        <v>2.7008000000000001</v>
      </c>
      <c r="G213">
        <v>4.0000000000000001E-3</v>
      </c>
      <c r="H213">
        <f t="shared" si="9"/>
        <v>0.10187319730225278</v>
      </c>
      <c r="I213">
        <f t="shared" si="10"/>
        <v>9.4067315012384342E-2</v>
      </c>
      <c r="J213">
        <f t="shared" si="11"/>
        <v>14.560000000000002</v>
      </c>
    </row>
    <row r="214" spans="1:10" x14ac:dyDescent="0.25">
      <c r="A214" t="s">
        <v>14</v>
      </c>
      <c r="B214">
        <v>60</v>
      </c>
      <c r="C214">
        <v>1865.26</v>
      </c>
      <c r="D214">
        <v>201.54</v>
      </c>
      <c r="E214">
        <v>186.16</v>
      </c>
      <c r="F214">
        <v>2.7486000000000002</v>
      </c>
      <c r="G214">
        <v>4.4999999999999997E-3</v>
      </c>
      <c r="H214">
        <f t="shared" si="9"/>
        <v>0.10804927999313768</v>
      </c>
      <c r="I214">
        <f t="shared" si="10"/>
        <v>9.9803780706175016E-2</v>
      </c>
      <c r="J214">
        <f t="shared" si="11"/>
        <v>15.379999999999995</v>
      </c>
    </row>
    <row r="215" spans="1:10" x14ac:dyDescent="0.25">
      <c r="A215" t="s">
        <v>14</v>
      </c>
      <c r="B215">
        <v>65</v>
      </c>
      <c r="C215">
        <v>1865.26</v>
      </c>
      <c r="D215">
        <v>215.51</v>
      </c>
      <c r="E215">
        <v>198.75</v>
      </c>
      <c r="F215">
        <v>2.7978999999999998</v>
      </c>
      <c r="G215">
        <v>4.0000000000000001E-3</v>
      </c>
      <c r="H215">
        <f t="shared" si="9"/>
        <v>0.11553885249241393</v>
      </c>
      <c r="I215">
        <f t="shared" si="10"/>
        <v>0.10655350996643899</v>
      </c>
      <c r="J215">
        <f t="shared" si="11"/>
        <v>16.759999999999991</v>
      </c>
    </row>
    <row r="216" spans="1:10" x14ac:dyDescent="0.25">
      <c r="A216" t="s">
        <v>14</v>
      </c>
      <c r="B216">
        <v>70</v>
      </c>
      <c r="C216">
        <v>1865.26</v>
      </c>
      <c r="D216">
        <v>230.97</v>
      </c>
      <c r="E216">
        <v>213.48</v>
      </c>
      <c r="F216">
        <v>2.8456000000000001</v>
      </c>
      <c r="G216">
        <v>5.1999999999999998E-3</v>
      </c>
      <c r="H216">
        <f t="shared" si="9"/>
        <v>0.12382724124250774</v>
      </c>
      <c r="I216">
        <f t="shared" si="10"/>
        <v>0.11445053236546111</v>
      </c>
      <c r="J216">
        <f t="shared" si="11"/>
        <v>17.490000000000009</v>
      </c>
    </row>
    <row r="217" spans="1:10" x14ac:dyDescent="0.25">
      <c r="A217" t="s">
        <v>14</v>
      </c>
      <c r="B217">
        <v>75</v>
      </c>
      <c r="C217">
        <v>1865.26</v>
      </c>
      <c r="D217">
        <v>249.13</v>
      </c>
      <c r="E217">
        <v>231.12</v>
      </c>
      <c r="F217">
        <v>2.9018999999999999</v>
      </c>
      <c r="G217">
        <v>5.0000000000000001E-3</v>
      </c>
      <c r="H217">
        <f t="shared" si="9"/>
        <v>0.13356314937327771</v>
      </c>
      <c r="I217">
        <f t="shared" si="10"/>
        <v>0.12390765898587865</v>
      </c>
      <c r="J217">
        <f t="shared" si="11"/>
        <v>18.009999999999991</v>
      </c>
    </row>
    <row r="218" spans="1:10" x14ac:dyDescent="0.25">
      <c r="A218" t="s">
        <v>14</v>
      </c>
      <c r="B218">
        <v>80</v>
      </c>
      <c r="C218">
        <v>1865.26</v>
      </c>
      <c r="D218">
        <v>275.13</v>
      </c>
      <c r="E218">
        <v>255.74</v>
      </c>
      <c r="F218">
        <v>3.0750999999999999</v>
      </c>
      <c r="G218">
        <v>5.0000000000000001E-3</v>
      </c>
      <c r="H218">
        <f t="shared" si="9"/>
        <v>0.14750222489089992</v>
      </c>
      <c r="I218">
        <f t="shared" si="10"/>
        <v>0.13710689126448861</v>
      </c>
      <c r="J218">
        <f t="shared" si="11"/>
        <v>19.389999999999986</v>
      </c>
    </row>
    <row r="219" spans="1:10" x14ac:dyDescent="0.25">
      <c r="A219" t="s">
        <v>14</v>
      </c>
      <c r="B219">
        <v>85</v>
      </c>
      <c r="C219">
        <v>1865.26</v>
      </c>
      <c r="D219">
        <v>310.63</v>
      </c>
      <c r="E219">
        <v>288.26</v>
      </c>
      <c r="F219">
        <v>3.0870000000000002</v>
      </c>
      <c r="G219">
        <v>6.0000000000000001E-3</v>
      </c>
      <c r="H219">
        <f t="shared" si="9"/>
        <v>0.16653442415534564</v>
      </c>
      <c r="I219">
        <f t="shared" si="10"/>
        <v>0.15454145802729913</v>
      </c>
      <c r="J219">
        <f t="shared" si="11"/>
        <v>22.370000000000005</v>
      </c>
    </row>
    <row r="220" spans="1:10" x14ac:dyDescent="0.25">
      <c r="A220" t="s">
        <v>14</v>
      </c>
      <c r="B220">
        <v>90</v>
      </c>
      <c r="C220">
        <v>1865.26</v>
      </c>
      <c r="D220">
        <v>378.38</v>
      </c>
      <c r="E220">
        <v>348.47</v>
      </c>
      <c r="F220">
        <v>3.2572999999999999</v>
      </c>
      <c r="G220">
        <v>5.0000000000000001E-3</v>
      </c>
      <c r="H220">
        <f t="shared" si="9"/>
        <v>0.20285643824453428</v>
      </c>
      <c r="I220">
        <f t="shared" si="10"/>
        <v>0.18682114021637736</v>
      </c>
      <c r="J220">
        <f t="shared" si="11"/>
        <v>29.909999999999968</v>
      </c>
    </row>
    <row r="221" spans="1:10" x14ac:dyDescent="0.25">
      <c r="A221" t="s">
        <v>14</v>
      </c>
      <c r="B221">
        <v>95</v>
      </c>
      <c r="C221">
        <v>1865.26</v>
      </c>
      <c r="D221">
        <v>520.12</v>
      </c>
      <c r="E221">
        <v>475.67</v>
      </c>
      <c r="F221">
        <v>3.6253000000000002</v>
      </c>
      <c r="G221">
        <v>7.0000000000000001E-3</v>
      </c>
      <c r="H221">
        <f t="shared" si="9"/>
        <v>0.2788458445471409</v>
      </c>
      <c r="I221">
        <f t="shared" si="10"/>
        <v>0.25501538659489831</v>
      </c>
      <c r="J221">
        <f t="shared" si="11"/>
        <v>44.449999999999989</v>
      </c>
    </row>
    <row r="222" spans="1:10" x14ac:dyDescent="0.25">
      <c r="A222" t="s">
        <v>15</v>
      </c>
      <c r="B222">
        <v>0</v>
      </c>
      <c r="C222">
        <v>2138.34</v>
      </c>
      <c r="D222">
        <v>40.29</v>
      </c>
      <c r="E222">
        <v>36.9</v>
      </c>
      <c r="F222">
        <v>2.0516000000000001</v>
      </c>
      <c r="G222">
        <v>3.0000000000000001E-3</v>
      </c>
      <c r="H222">
        <f t="shared" si="9"/>
        <v>1.8841718342265494E-2</v>
      </c>
      <c r="I222">
        <f t="shared" si="10"/>
        <v>1.7256376441538761E-2</v>
      </c>
      <c r="J222">
        <f t="shared" si="11"/>
        <v>3.3900000000000006</v>
      </c>
    </row>
    <row r="223" spans="1:10" x14ac:dyDescent="0.25">
      <c r="A223" t="s">
        <v>15</v>
      </c>
      <c r="B223">
        <v>5</v>
      </c>
      <c r="C223">
        <v>2138.34</v>
      </c>
      <c r="D223">
        <v>52.09</v>
      </c>
      <c r="E223">
        <v>47.71</v>
      </c>
      <c r="F223">
        <v>2.169</v>
      </c>
      <c r="G223">
        <v>4.0000000000000001E-3</v>
      </c>
      <c r="H223">
        <f t="shared" si="9"/>
        <v>2.4360017583733178E-2</v>
      </c>
      <c r="I223">
        <f t="shared" si="10"/>
        <v>2.2311699729696866E-2</v>
      </c>
      <c r="J223">
        <f t="shared" si="11"/>
        <v>4.3800000000000026</v>
      </c>
    </row>
    <row r="224" spans="1:10" x14ac:dyDescent="0.25">
      <c r="A224" t="s">
        <v>15</v>
      </c>
      <c r="B224">
        <v>10</v>
      </c>
      <c r="C224">
        <v>2138.34</v>
      </c>
      <c r="D224">
        <v>73.84</v>
      </c>
      <c r="E224">
        <v>67.709999999999994</v>
      </c>
      <c r="F224">
        <v>2.2595000000000001</v>
      </c>
      <c r="G224">
        <v>4.0000000000000001E-3</v>
      </c>
      <c r="H224">
        <f t="shared" si="9"/>
        <v>3.4531458982201148E-2</v>
      </c>
      <c r="I224">
        <f t="shared" si="10"/>
        <v>3.1664749291506492E-2</v>
      </c>
      <c r="J224">
        <f t="shared" si="11"/>
        <v>6.1300000000000097</v>
      </c>
    </row>
    <row r="225" spans="1:10" x14ac:dyDescent="0.25">
      <c r="A225" t="s">
        <v>15</v>
      </c>
      <c r="B225">
        <v>15</v>
      </c>
      <c r="C225">
        <v>2138.34</v>
      </c>
      <c r="D225">
        <v>92.92</v>
      </c>
      <c r="E225">
        <v>84.85</v>
      </c>
      <c r="F225">
        <v>2.3601000000000001</v>
      </c>
      <c r="G225">
        <v>4.0000000000000001E-3</v>
      </c>
      <c r="H225">
        <f t="shared" si="9"/>
        <v>4.3454268264167532E-2</v>
      </c>
      <c r="I225">
        <f t="shared" si="10"/>
        <v>3.9680312765977339E-2</v>
      </c>
      <c r="J225">
        <f t="shared" si="11"/>
        <v>8.0700000000000074</v>
      </c>
    </row>
    <row r="226" spans="1:10" x14ac:dyDescent="0.25">
      <c r="A226" t="s">
        <v>15</v>
      </c>
      <c r="B226">
        <v>20</v>
      </c>
      <c r="C226">
        <v>2138.34</v>
      </c>
      <c r="D226">
        <v>109.57</v>
      </c>
      <c r="E226">
        <v>100.18</v>
      </c>
      <c r="F226">
        <v>2.4485000000000001</v>
      </c>
      <c r="G226">
        <v>5.0000000000000001E-3</v>
      </c>
      <c r="H226">
        <f t="shared" si="9"/>
        <v>5.124068202437404E-2</v>
      </c>
      <c r="I226">
        <f t="shared" si="10"/>
        <v>4.6849425255104424E-2</v>
      </c>
      <c r="J226">
        <f t="shared" si="11"/>
        <v>9.3899999999999864</v>
      </c>
    </row>
    <row r="227" spans="1:10" x14ac:dyDescent="0.25">
      <c r="A227" t="s">
        <v>15</v>
      </c>
      <c r="B227">
        <v>25</v>
      </c>
      <c r="C227">
        <v>2138.34</v>
      </c>
      <c r="D227">
        <v>125.2</v>
      </c>
      <c r="E227">
        <v>114.64</v>
      </c>
      <c r="F227">
        <v>2.5034000000000001</v>
      </c>
      <c r="G227">
        <v>5.0000000000000001E-3</v>
      </c>
      <c r="H227">
        <f t="shared" si="9"/>
        <v>5.8550090256928269E-2</v>
      </c>
      <c r="I227">
        <f t="shared" si="10"/>
        <v>5.3611680088292785E-2</v>
      </c>
      <c r="J227">
        <f t="shared" si="11"/>
        <v>10.560000000000002</v>
      </c>
    </row>
    <row r="228" spans="1:10" x14ac:dyDescent="0.25">
      <c r="A228" t="s">
        <v>15</v>
      </c>
      <c r="B228">
        <v>30</v>
      </c>
      <c r="C228">
        <v>2138.34</v>
      </c>
      <c r="D228">
        <v>140.41</v>
      </c>
      <c r="E228">
        <v>128.78</v>
      </c>
      <c r="F228">
        <v>2.5758999999999999</v>
      </c>
      <c r="G228">
        <v>4.0000000000000001E-3</v>
      </c>
      <c r="H228">
        <f t="shared" si="9"/>
        <v>6.5663084448684489E-2</v>
      </c>
      <c r="I228">
        <f t="shared" si="10"/>
        <v>6.0224286128492191E-2</v>
      </c>
      <c r="J228">
        <f t="shared" si="11"/>
        <v>11.629999999999995</v>
      </c>
    </row>
    <row r="229" spans="1:10" x14ac:dyDescent="0.25">
      <c r="A229" t="s">
        <v>15</v>
      </c>
      <c r="B229">
        <v>35</v>
      </c>
      <c r="C229">
        <v>2138.34</v>
      </c>
      <c r="D229">
        <v>154.56</v>
      </c>
      <c r="E229">
        <v>141.97999999999999</v>
      </c>
      <c r="F229">
        <v>2.6528</v>
      </c>
      <c r="G229">
        <v>5.0000000000000001E-3</v>
      </c>
      <c r="H229">
        <f t="shared" si="9"/>
        <v>7.2280367013664804E-2</v>
      </c>
      <c r="I229">
        <f t="shared" si="10"/>
        <v>6.6397298839286537E-2</v>
      </c>
      <c r="J229">
        <f t="shared" si="11"/>
        <v>12.580000000000013</v>
      </c>
    </row>
    <row r="230" spans="1:10" x14ac:dyDescent="0.25">
      <c r="A230" t="s">
        <v>15</v>
      </c>
      <c r="B230">
        <v>40</v>
      </c>
      <c r="C230">
        <v>2138.34</v>
      </c>
      <c r="D230">
        <v>166.9</v>
      </c>
      <c r="E230">
        <v>152.55000000000001</v>
      </c>
      <c r="F230">
        <v>2.6905000000000001</v>
      </c>
      <c r="G230">
        <v>5.0000000000000001E-3</v>
      </c>
      <c r="H230">
        <f t="shared" si="9"/>
        <v>7.8051198593301341E-2</v>
      </c>
      <c r="I230">
        <f t="shared" si="10"/>
        <v>7.1340385532702943E-2</v>
      </c>
      <c r="J230">
        <f t="shared" si="11"/>
        <v>14.349999999999994</v>
      </c>
    </row>
    <row r="231" spans="1:10" x14ac:dyDescent="0.25">
      <c r="A231" t="s">
        <v>15</v>
      </c>
      <c r="B231">
        <v>45</v>
      </c>
      <c r="C231">
        <v>2138.34</v>
      </c>
      <c r="D231">
        <v>179.68</v>
      </c>
      <c r="E231">
        <v>164.12</v>
      </c>
      <c r="F231">
        <v>2.7610000000000001</v>
      </c>
      <c r="G231">
        <v>5.0000000000000001E-3</v>
      </c>
      <c r="H231">
        <f t="shared" si="9"/>
        <v>8.402779726329769E-2</v>
      </c>
      <c r="I231">
        <f t="shared" si="10"/>
        <v>7.6751124704209805E-2</v>
      </c>
      <c r="J231">
        <f t="shared" si="11"/>
        <v>15.560000000000002</v>
      </c>
    </row>
    <row r="232" spans="1:10" x14ac:dyDescent="0.25">
      <c r="A232" t="s">
        <v>15</v>
      </c>
      <c r="B232">
        <v>50</v>
      </c>
      <c r="C232">
        <v>2138.34</v>
      </c>
      <c r="D232">
        <v>190.95</v>
      </c>
      <c r="E232">
        <v>174.43</v>
      </c>
      <c r="F232">
        <v>2.8227000000000002</v>
      </c>
      <c r="G232">
        <v>4.0000000000000001E-3</v>
      </c>
      <c r="H232">
        <f t="shared" si="9"/>
        <v>8.9298240691377415E-2</v>
      </c>
      <c r="I232">
        <f t="shared" si="10"/>
        <v>8.1572621753322666E-2</v>
      </c>
      <c r="J232">
        <f t="shared" si="11"/>
        <v>16.519999999999982</v>
      </c>
    </row>
    <row r="233" spans="1:10" x14ac:dyDescent="0.25">
      <c r="A233" t="s">
        <v>15</v>
      </c>
      <c r="B233">
        <v>55</v>
      </c>
      <c r="C233">
        <v>2138.34</v>
      </c>
      <c r="D233">
        <v>202.7</v>
      </c>
      <c r="E233">
        <v>185.6</v>
      </c>
      <c r="F233">
        <v>2.8336000000000001</v>
      </c>
      <c r="G233">
        <v>6.0000000000000001E-3</v>
      </c>
      <c r="H233">
        <f t="shared" si="9"/>
        <v>9.479315730894057E-2</v>
      </c>
      <c r="I233">
        <f t="shared" si="10"/>
        <v>8.6796299933593335E-2</v>
      </c>
      <c r="J233">
        <f t="shared" si="11"/>
        <v>17.099999999999994</v>
      </c>
    </row>
    <row r="234" spans="1:10" x14ac:dyDescent="0.25">
      <c r="A234" t="s">
        <v>15</v>
      </c>
      <c r="B234">
        <v>60</v>
      </c>
      <c r="C234">
        <v>2138.34</v>
      </c>
      <c r="D234">
        <v>217.04</v>
      </c>
      <c r="E234">
        <v>198.75</v>
      </c>
      <c r="F234">
        <v>2.8752</v>
      </c>
      <c r="G234">
        <v>5.0000000000000001E-3</v>
      </c>
      <c r="H234">
        <f t="shared" si="9"/>
        <v>0.10149929384475807</v>
      </c>
      <c r="I234">
        <f t="shared" si="10"/>
        <v>9.2945930020483167E-2</v>
      </c>
      <c r="J234">
        <f t="shared" si="11"/>
        <v>18.289999999999992</v>
      </c>
    </row>
    <row r="235" spans="1:10" x14ac:dyDescent="0.25">
      <c r="A235" t="s">
        <v>15</v>
      </c>
      <c r="B235">
        <v>65</v>
      </c>
      <c r="C235">
        <v>2138.34</v>
      </c>
      <c r="D235">
        <v>235.56</v>
      </c>
      <c r="E235">
        <v>215.59</v>
      </c>
      <c r="F235">
        <v>2.9771999999999998</v>
      </c>
      <c r="G235">
        <v>5.0000000000000001E-3</v>
      </c>
      <c r="H235">
        <f t="shared" si="9"/>
        <v>0.11016021773899379</v>
      </c>
      <c r="I235">
        <f t="shared" si="10"/>
        <v>0.10082119775152688</v>
      </c>
      <c r="J235">
        <f t="shared" si="11"/>
        <v>19.97</v>
      </c>
    </row>
    <row r="236" spans="1:10" x14ac:dyDescent="0.25">
      <c r="A236" t="s">
        <v>15</v>
      </c>
      <c r="B236">
        <v>70</v>
      </c>
      <c r="C236">
        <v>2138.34</v>
      </c>
      <c r="D236">
        <v>256.97000000000003</v>
      </c>
      <c r="E236">
        <v>235.66</v>
      </c>
      <c r="F236">
        <v>3.0819000000000001</v>
      </c>
      <c r="G236">
        <v>5.0000000000000001E-3</v>
      </c>
      <c r="H236">
        <f t="shared" si="9"/>
        <v>0.12017265729491101</v>
      </c>
      <c r="I236">
        <f t="shared" si="10"/>
        <v>0.11020698298680284</v>
      </c>
      <c r="J236">
        <f t="shared" si="11"/>
        <v>21.310000000000031</v>
      </c>
    </row>
    <row r="237" spans="1:10" x14ac:dyDescent="0.25">
      <c r="A237" t="s">
        <v>15</v>
      </c>
      <c r="B237">
        <v>75</v>
      </c>
      <c r="C237">
        <v>2138.34</v>
      </c>
      <c r="D237">
        <v>281.62</v>
      </c>
      <c r="E237">
        <v>259.02999999999997</v>
      </c>
      <c r="F237">
        <v>3.1362000000000001</v>
      </c>
      <c r="G237">
        <v>5.0000000000000001E-3</v>
      </c>
      <c r="H237">
        <f t="shared" si="9"/>
        <v>0.13170029087984136</v>
      </c>
      <c r="I237">
        <f t="shared" si="10"/>
        <v>0.12113602139977737</v>
      </c>
      <c r="J237">
        <f t="shared" si="11"/>
        <v>22.590000000000032</v>
      </c>
    </row>
    <row r="238" spans="1:10" x14ac:dyDescent="0.25">
      <c r="A238" t="s">
        <v>15</v>
      </c>
      <c r="B238">
        <v>80</v>
      </c>
      <c r="C238">
        <v>2138.34</v>
      </c>
      <c r="D238">
        <v>319.45</v>
      </c>
      <c r="E238">
        <v>294.44</v>
      </c>
      <c r="F238">
        <v>3.3043999999999998</v>
      </c>
      <c r="G238">
        <v>5.7000000000000002E-3</v>
      </c>
      <c r="H238">
        <f t="shared" si="9"/>
        <v>0.14939158412600426</v>
      </c>
      <c r="I238">
        <f t="shared" si="10"/>
        <v>0.13769559564896133</v>
      </c>
      <c r="J238">
        <f t="shared" si="11"/>
        <v>25.009999999999991</v>
      </c>
    </row>
    <row r="239" spans="1:10" x14ac:dyDescent="0.25">
      <c r="A239" t="s">
        <v>15</v>
      </c>
      <c r="B239">
        <v>85</v>
      </c>
      <c r="C239">
        <v>2138.34</v>
      </c>
      <c r="D239">
        <v>370.24</v>
      </c>
      <c r="E239">
        <v>342.63</v>
      </c>
      <c r="F239">
        <v>3.4992999999999999</v>
      </c>
      <c r="G239">
        <v>6.0000000000000001E-3</v>
      </c>
      <c r="H239">
        <f t="shared" si="9"/>
        <v>0.17314365348821983</v>
      </c>
      <c r="I239">
        <f t="shared" si="10"/>
        <v>0.16023176856814164</v>
      </c>
      <c r="J239">
        <f t="shared" si="11"/>
        <v>27.610000000000014</v>
      </c>
    </row>
    <row r="240" spans="1:10" x14ac:dyDescent="0.25">
      <c r="A240" t="s">
        <v>15</v>
      </c>
      <c r="B240">
        <v>90</v>
      </c>
      <c r="C240">
        <v>2138.34</v>
      </c>
      <c r="D240">
        <v>459.13</v>
      </c>
      <c r="E240">
        <v>426.35</v>
      </c>
      <c r="F240">
        <v>3.8290999999999999</v>
      </c>
      <c r="G240">
        <v>7.0000000000000001E-3</v>
      </c>
      <c r="H240">
        <f t="shared" si="9"/>
        <v>0.2147132822656827</v>
      </c>
      <c r="I240">
        <f t="shared" si="10"/>
        <v>0.19938363403387674</v>
      </c>
      <c r="J240">
        <f t="shared" si="11"/>
        <v>32.779999999999973</v>
      </c>
    </row>
    <row r="241" spans="1:10" x14ac:dyDescent="0.25">
      <c r="A241" t="s">
        <v>15</v>
      </c>
      <c r="B241">
        <v>95</v>
      </c>
      <c r="C241">
        <v>2138.34</v>
      </c>
      <c r="D241">
        <v>645.63</v>
      </c>
      <c r="E241">
        <v>603.79</v>
      </c>
      <c r="F241">
        <v>4.4401000000000002</v>
      </c>
      <c r="G241">
        <v>7.7000000000000002E-3</v>
      </c>
      <c r="H241">
        <f t="shared" si="9"/>
        <v>0.30193046942955748</v>
      </c>
      <c r="I241">
        <f t="shared" si="10"/>
        <v>0.28236388974625171</v>
      </c>
      <c r="J241">
        <f t="shared" si="11"/>
        <v>41.840000000000032</v>
      </c>
    </row>
    <row r="242" spans="1:10" x14ac:dyDescent="0.25">
      <c r="A242" t="s">
        <v>23</v>
      </c>
      <c r="B242">
        <v>0</v>
      </c>
      <c r="C242">
        <v>2061.29</v>
      </c>
      <c r="D242">
        <v>132.76</v>
      </c>
      <c r="E242">
        <v>121.95</v>
      </c>
      <c r="F242">
        <v>7.2892999999999999</v>
      </c>
      <c r="G242">
        <v>0.01</v>
      </c>
      <c r="H242">
        <f t="shared" ref="H242:H281" si="12">D242/C242</f>
        <v>6.4406269860136131E-2</v>
      </c>
      <c r="I242">
        <f t="shared" ref="I242:I281" si="13">E242/C242</f>
        <v>5.9161981089511907E-2</v>
      </c>
      <c r="J242">
        <f t="shared" ref="J242:J281" si="14">D242-E242</f>
        <v>10.809999999999988</v>
      </c>
    </row>
    <row r="243" spans="1:10" x14ac:dyDescent="0.25">
      <c r="A243" t="s">
        <v>23</v>
      </c>
      <c r="B243">
        <v>5</v>
      </c>
      <c r="C243">
        <v>2061.29</v>
      </c>
      <c r="D243">
        <v>178.05</v>
      </c>
      <c r="E243">
        <v>164.8</v>
      </c>
      <c r="F243">
        <v>7.5492999999999997</v>
      </c>
      <c r="G243">
        <v>1.0999999999999999E-2</v>
      </c>
      <c r="H243">
        <f t="shared" si="12"/>
        <v>8.6377947789976192E-2</v>
      </c>
      <c r="I243">
        <f t="shared" si="13"/>
        <v>7.9949934264465464E-2</v>
      </c>
      <c r="J243">
        <f t="shared" si="14"/>
        <v>13.25</v>
      </c>
    </row>
    <row r="244" spans="1:10" x14ac:dyDescent="0.25">
      <c r="A244" t="s">
        <v>23</v>
      </c>
      <c r="B244">
        <v>10</v>
      </c>
      <c r="C244">
        <v>2061.29</v>
      </c>
      <c r="D244">
        <v>279.32</v>
      </c>
      <c r="E244">
        <v>259.99</v>
      </c>
      <c r="F244">
        <v>8.1189999999999998</v>
      </c>
      <c r="G244">
        <v>1.26E-2</v>
      </c>
      <c r="H244">
        <f t="shared" si="12"/>
        <v>0.13550737644872871</v>
      </c>
      <c r="I244">
        <f t="shared" si="13"/>
        <v>0.12612975369792703</v>
      </c>
      <c r="J244">
        <f t="shared" si="14"/>
        <v>19.329999999999984</v>
      </c>
    </row>
    <row r="245" spans="1:10" x14ac:dyDescent="0.25">
      <c r="A245" t="s">
        <v>23</v>
      </c>
      <c r="B245">
        <v>15</v>
      </c>
      <c r="C245">
        <v>2061.29</v>
      </c>
      <c r="D245">
        <v>369.7</v>
      </c>
      <c r="E245">
        <v>344.39</v>
      </c>
      <c r="F245">
        <v>8.6682000000000006</v>
      </c>
      <c r="G245">
        <v>1.2999999999999999E-2</v>
      </c>
      <c r="H245">
        <f t="shared" si="12"/>
        <v>0.17935370568915582</v>
      </c>
      <c r="I245">
        <f t="shared" si="13"/>
        <v>0.16707498702268966</v>
      </c>
      <c r="J245">
        <f t="shared" si="14"/>
        <v>25.310000000000002</v>
      </c>
    </row>
    <row r="246" spans="1:10" x14ac:dyDescent="0.25">
      <c r="A246" t="s">
        <v>23</v>
      </c>
      <c r="B246">
        <v>20</v>
      </c>
      <c r="C246">
        <v>2061.29</v>
      </c>
      <c r="D246">
        <v>451.92</v>
      </c>
      <c r="E246">
        <v>420.56</v>
      </c>
      <c r="F246">
        <v>9.1623000000000001</v>
      </c>
      <c r="G246">
        <v>1.2999999999999999E-2</v>
      </c>
      <c r="H246">
        <f t="shared" si="12"/>
        <v>0.21924134886406085</v>
      </c>
      <c r="I246">
        <f t="shared" si="13"/>
        <v>0.20402757496519169</v>
      </c>
      <c r="J246">
        <f t="shared" si="14"/>
        <v>31.360000000000014</v>
      </c>
    </row>
    <row r="247" spans="1:10" x14ac:dyDescent="0.25">
      <c r="A247" t="s">
        <v>23</v>
      </c>
      <c r="B247">
        <v>25</v>
      </c>
      <c r="C247">
        <v>2061.29</v>
      </c>
      <c r="D247">
        <v>531.5</v>
      </c>
      <c r="E247">
        <v>494.55</v>
      </c>
      <c r="F247">
        <v>9.3978000000000002</v>
      </c>
      <c r="G247">
        <v>1.4E-2</v>
      </c>
      <c r="H247">
        <f t="shared" si="12"/>
        <v>0.25784824066482642</v>
      </c>
      <c r="I247">
        <f t="shared" si="13"/>
        <v>0.23992257275783613</v>
      </c>
      <c r="J247">
        <f t="shared" si="14"/>
        <v>36.949999999999989</v>
      </c>
    </row>
    <row r="248" spans="1:10" x14ac:dyDescent="0.25">
      <c r="A248" t="s">
        <v>23</v>
      </c>
      <c r="B248">
        <v>30</v>
      </c>
      <c r="C248">
        <v>2061.29</v>
      </c>
      <c r="D248">
        <v>598.16</v>
      </c>
      <c r="E248">
        <v>557.5</v>
      </c>
      <c r="F248">
        <v>9.7845999999999993</v>
      </c>
      <c r="G248">
        <v>1.4E-2</v>
      </c>
      <c r="H248">
        <f t="shared" si="12"/>
        <v>0.29018721286184862</v>
      </c>
      <c r="I248">
        <f t="shared" si="13"/>
        <v>0.27046170116771534</v>
      </c>
      <c r="J248">
        <f t="shared" si="14"/>
        <v>40.659999999999968</v>
      </c>
    </row>
    <row r="249" spans="1:10" x14ac:dyDescent="0.25">
      <c r="A249" t="s">
        <v>23</v>
      </c>
      <c r="B249">
        <v>35</v>
      </c>
      <c r="C249">
        <v>2061.29</v>
      </c>
      <c r="D249">
        <v>673.83</v>
      </c>
      <c r="E249">
        <v>629</v>
      </c>
      <c r="F249">
        <v>10.074199999999999</v>
      </c>
      <c r="G249">
        <v>1.4999999999999999E-2</v>
      </c>
      <c r="H249">
        <f t="shared" si="12"/>
        <v>0.32689723425621819</v>
      </c>
      <c r="I249">
        <f t="shared" si="13"/>
        <v>0.30514871755066003</v>
      </c>
      <c r="J249">
        <f t="shared" si="14"/>
        <v>44.830000000000041</v>
      </c>
    </row>
    <row r="250" spans="1:10" x14ac:dyDescent="0.25">
      <c r="A250" t="s">
        <v>23</v>
      </c>
      <c r="B250">
        <v>40</v>
      </c>
      <c r="C250">
        <v>2061.29</v>
      </c>
      <c r="D250">
        <v>721.37</v>
      </c>
      <c r="E250">
        <v>670.05</v>
      </c>
      <c r="F250">
        <v>10.5822</v>
      </c>
      <c r="G250">
        <v>1.6E-2</v>
      </c>
      <c r="H250">
        <f t="shared" si="12"/>
        <v>0.34996046165265443</v>
      </c>
      <c r="I250">
        <f t="shared" si="13"/>
        <v>0.3250634311523366</v>
      </c>
      <c r="J250">
        <f t="shared" si="14"/>
        <v>51.32000000000005</v>
      </c>
    </row>
    <row r="251" spans="1:10" x14ac:dyDescent="0.25">
      <c r="A251" t="s">
        <v>23</v>
      </c>
      <c r="B251">
        <v>45</v>
      </c>
      <c r="C251">
        <v>2061.29</v>
      </c>
      <c r="D251">
        <v>818.65</v>
      </c>
      <c r="E251">
        <v>758.41</v>
      </c>
      <c r="F251">
        <v>10.839499999999999</v>
      </c>
      <c r="G251">
        <v>1.6E-2</v>
      </c>
      <c r="H251">
        <f t="shared" si="12"/>
        <v>0.39715420925730976</v>
      </c>
      <c r="I251">
        <f t="shared" si="13"/>
        <v>0.36792979153830851</v>
      </c>
      <c r="J251">
        <f t="shared" si="14"/>
        <v>60.240000000000009</v>
      </c>
    </row>
    <row r="252" spans="1:10" x14ac:dyDescent="0.25">
      <c r="A252" t="s">
        <v>23</v>
      </c>
      <c r="B252">
        <v>50</v>
      </c>
      <c r="C252">
        <v>2061.29</v>
      </c>
      <c r="D252">
        <v>861.25</v>
      </c>
      <c r="E252">
        <v>792.88</v>
      </c>
      <c r="F252">
        <v>11.035399999999999</v>
      </c>
      <c r="G252">
        <v>1.7000000000000001E-2</v>
      </c>
      <c r="H252">
        <f t="shared" si="12"/>
        <v>0.41782087915819704</v>
      </c>
      <c r="I252">
        <f t="shared" si="13"/>
        <v>0.38465232936656174</v>
      </c>
      <c r="J252">
        <f t="shared" si="14"/>
        <v>68.37</v>
      </c>
    </row>
    <row r="253" spans="1:10" x14ac:dyDescent="0.25">
      <c r="A253" t="s">
        <v>23</v>
      </c>
      <c r="B253">
        <v>55</v>
      </c>
      <c r="C253">
        <v>2061.29</v>
      </c>
      <c r="D253">
        <v>898</v>
      </c>
      <c r="E253">
        <v>824.45</v>
      </c>
      <c r="F253">
        <v>10.9474</v>
      </c>
      <c r="G253">
        <v>1.7000000000000001E-2</v>
      </c>
      <c r="H253">
        <f t="shared" si="12"/>
        <v>0.43564952044593436</v>
      </c>
      <c r="I253">
        <f t="shared" si="13"/>
        <v>0.39996798121564653</v>
      </c>
      <c r="J253">
        <f t="shared" si="14"/>
        <v>73.549999999999955</v>
      </c>
    </row>
    <row r="254" spans="1:10" x14ac:dyDescent="0.25">
      <c r="A254" t="s">
        <v>23</v>
      </c>
      <c r="B254">
        <v>60</v>
      </c>
      <c r="C254">
        <v>2061.29</v>
      </c>
      <c r="D254">
        <v>1002.15</v>
      </c>
      <c r="E254">
        <v>926.17</v>
      </c>
      <c r="F254">
        <v>11.5952</v>
      </c>
      <c r="G254">
        <v>1.7000000000000001E-2</v>
      </c>
      <c r="H254">
        <f t="shared" si="12"/>
        <v>0.48617613242192997</v>
      </c>
      <c r="I254">
        <f t="shared" si="13"/>
        <v>0.44931571976771828</v>
      </c>
      <c r="J254">
        <f t="shared" si="14"/>
        <v>75.980000000000018</v>
      </c>
    </row>
    <row r="255" spans="1:10" x14ac:dyDescent="0.25">
      <c r="A255" t="s">
        <v>23</v>
      </c>
      <c r="B255">
        <v>65</v>
      </c>
      <c r="C255">
        <v>2061.29</v>
      </c>
      <c r="D255">
        <v>1125.02</v>
      </c>
      <c r="E255">
        <v>1041.32</v>
      </c>
      <c r="F255">
        <v>12.680099999999999</v>
      </c>
      <c r="G255">
        <v>1.7999999999999999E-2</v>
      </c>
      <c r="H255">
        <f t="shared" si="12"/>
        <v>0.54578443596000559</v>
      </c>
      <c r="I255">
        <f t="shared" si="13"/>
        <v>0.50517879580262848</v>
      </c>
      <c r="J255">
        <f t="shared" si="14"/>
        <v>83.700000000000045</v>
      </c>
    </row>
    <row r="256" spans="1:10" x14ac:dyDescent="0.25">
      <c r="A256" t="s">
        <v>23</v>
      </c>
      <c r="B256">
        <v>70</v>
      </c>
      <c r="C256">
        <v>2061.29</v>
      </c>
      <c r="D256">
        <v>1187.18</v>
      </c>
      <c r="E256">
        <v>1096.72</v>
      </c>
      <c r="F256">
        <v>12.897500000000001</v>
      </c>
      <c r="G256">
        <v>1.7999999999999999E-2</v>
      </c>
      <c r="H256">
        <f t="shared" si="12"/>
        <v>0.57594030922383554</v>
      </c>
      <c r="I256">
        <f t="shared" si="13"/>
        <v>0.53205516933570729</v>
      </c>
      <c r="J256">
        <f t="shared" si="14"/>
        <v>90.460000000000036</v>
      </c>
    </row>
    <row r="257" spans="1:10" x14ac:dyDescent="0.25">
      <c r="A257" t="s">
        <v>23</v>
      </c>
      <c r="B257">
        <v>75</v>
      </c>
      <c r="C257">
        <v>2061.29</v>
      </c>
      <c r="D257">
        <v>1255.33</v>
      </c>
      <c r="E257">
        <v>1160.02</v>
      </c>
      <c r="F257">
        <v>13.0526</v>
      </c>
      <c r="G257">
        <v>1.9E-2</v>
      </c>
      <c r="H257">
        <f t="shared" si="12"/>
        <v>0.60900212973429257</v>
      </c>
      <c r="I257">
        <f t="shared" si="13"/>
        <v>0.56276409432927921</v>
      </c>
      <c r="J257">
        <f t="shared" si="14"/>
        <v>95.309999999999945</v>
      </c>
    </row>
    <row r="258" spans="1:10" x14ac:dyDescent="0.25">
      <c r="A258" t="s">
        <v>23</v>
      </c>
      <c r="B258">
        <v>80</v>
      </c>
      <c r="C258">
        <v>2061.29</v>
      </c>
      <c r="D258">
        <v>1552.52</v>
      </c>
      <c r="E258">
        <v>1471.63</v>
      </c>
      <c r="F258">
        <v>14.088800000000001</v>
      </c>
      <c r="G258">
        <v>2.1000000000000001E-2</v>
      </c>
      <c r="H258">
        <f t="shared" si="12"/>
        <v>0.75317883461327617</v>
      </c>
      <c r="I258">
        <f t="shared" si="13"/>
        <v>0.71393641845640354</v>
      </c>
      <c r="J258">
        <f t="shared" si="14"/>
        <v>80.889999999999873</v>
      </c>
    </row>
    <row r="259" spans="1:10" x14ac:dyDescent="0.25">
      <c r="A259" t="s">
        <v>23</v>
      </c>
      <c r="B259">
        <v>85</v>
      </c>
      <c r="C259">
        <v>2061.29</v>
      </c>
      <c r="D259">
        <v>1869.5</v>
      </c>
      <c r="E259">
        <v>1783.62</v>
      </c>
      <c r="F259">
        <v>15.764099999999999</v>
      </c>
      <c r="G259">
        <v>2.7E-2</v>
      </c>
      <c r="H259">
        <f t="shared" si="12"/>
        <v>0.90695632346734323</v>
      </c>
      <c r="I259">
        <f t="shared" si="13"/>
        <v>0.86529309316010838</v>
      </c>
      <c r="J259">
        <f t="shared" si="14"/>
        <v>85.880000000000109</v>
      </c>
    </row>
    <row r="260" spans="1:10" x14ac:dyDescent="0.25">
      <c r="A260" t="s">
        <v>23</v>
      </c>
      <c r="B260">
        <v>90</v>
      </c>
      <c r="C260">
        <v>2061.29</v>
      </c>
      <c r="D260">
        <v>2144.5</v>
      </c>
      <c r="E260">
        <v>2067.46</v>
      </c>
      <c r="F260">
        <v>16.267499999999998</v>
      </c>
      <c r="G260">
        <v>2.5000000000000001E-2</v>
      </c>
      <c r="H260">
        <f t="shared" si="12"/>
        <v>1.0403679249402074</v>
      </c>
      <c r="I260">
        <f t="shared" si="13"/>
        <v>1.0029932712039549</v>
      </c>
      <c r="J260">
        <f t="shared" si="14"/>
        <v>77.039999999999964</v>
      </c>
    </row>
    <row r="261" spans="1:10" x14ac:dyDescent="0.25">
      <c r="A261" t="s">
        <v>23</v>
      </c>
      <c r="B261">
        <v>95</v>
      </c>
      <c r="C261">
        <v>2061.29</v>
      </c>
      <c r="D261">
        <v>2919.6</v>
      </c>
      <c r="E261">
        <v>2785.4</v>
      </c>
      <c r="F261">
        <v>16.781199999999998</v>
      </c>
      <c r="G261">
        <v>2.7E-2</v>
      </c>
      <c r="H261">
        <f t="shared" si="12"/>
        <v>1.416394587855178</v>
      </c>
      <c r="I261">
        <f t="shared" si="13"/>
        <v>1.3512897263364205</v>
      </c>
      <c r="J261">
        <f t="shared" si="14"/>
        <v>134.19999999999982</v>
      </c>
    </row>
    <row r="262" spans="1:10" x14ac:dyDescent="0.25">
      <c r="A262" t="s">
        <v>24</v>
      </c>
      <c r="B262">
        <v>0</v>
      </c>
      <c r="C262">
        <v>1163.92</v>
      </c>
      <c r="D262">
        <v>16.239999999999998</v>
      </c>
      <c r="E262">
        <v>14.8</v>
      </c>
      <c r="F262">
        <v>1.0983000000000001</v>
      </c>
      <c r="G262">
        <v>2E-3</v>
      </c>
      <c r="H262">
        <f t="shared" si="12"/>
        <v>1.395284899305794E-2</v>
      </c>
      <c r="I262">
        <f t="shared" si="13"/>
        <v>1.2715650560175956E-2</v>
      </c>
      <c r="J262">
        <f t="shared" si="14"/>
        <v>1.4399999999999977</v>
      </c>
    </row>
    <row r="263" spans="1:10" x14ac:dyDescent="0.25">
      <c r="A263" t="s">
        <v>24</v>
      </c>
      <c r="B263">
        <v>5</v>
      </c>
      <c r="C263">
        <v>1163.92</v>
      </c>
      <c r="D263">
        <v>18.809999999999999</v>
      </c>
      <c r="E263">
        <v>17.11</v>
      </c>
      <c r="F263">
        <v>1.1023000000000001</v>
      </c>
      <c r="G263">
        <v>3.0000000000000001E-3</v>
      </c>
      <c r="H263">
        <f t="shared" si="12"/>
        <v>1.6160904529520927E-2</v>
      </c>
      <c r="I263">
        <f t="shared" si="13"/>
        <v>1.4700323046257473E-2</v>
      </c>
      <c r="J263">
        <f t="shared" si="14"/>
        <v>1.6999999999999993</v>
      </c>
    </row>
    <row r="264" spans="1:10" x14ac:dyDescent="0.25">
      <c r="A264" t="s">
        <v>24</v>
      </c>
      <c r="B264">
        <v>10</v>
      </c>
      <c r="C264">
        <v>1163.92</v>
      </c>
      <c r="D264">
        <v>25.05</v>
      </c>
      <c r="E264">
        <v>22.88</v>
      </c>
      <c r="F264">
        <v>1.1268</v>
      </c>
      <c r="G264">
        <v>2E-3</v>
      </c>
      <c r="H264">
        <f t="shared" si="12"/>
        <v>2.1522097738676197E-2</v>
      </c>
      <c r="I264">
        <f t="shared" si="13"/>
        <v>1.9657708433569315E-2</v>
      </c>
      <c r="J264">
        <f t="shared" si="14"/>
        <v>2.1700000000000017</v>
      </c>
    </row>
    <row r="265" spans="1:10" x14ac:dyDescent="0.25">
      <c r="A265" t="s">
        <v>24</v>
      </c>
      <c r="B265">
        <v>15</v>
      </c>
      <c r="C265">
        <v>1163.92</v>
      </c>
      <c r="D265">
        <v>31.21</v>
      </c>
      <c r="E265">
        <v>28.57</v>
      </c>
      <c r="F265">
        <v>1.1839999999999999</v>
      </c>
      <c r="G265">
        <v>3.0000000000000001E-3</v>
      </c>
      <c r="H265">
        <f t="shared" si="12"/>
        <v>2.6814557701560243E-2</v>
      </c>
      <c r="I265">
        <f t="shared" si="13"/>
        <v>2.4546360574609939E-2</v>
      </c>
      <c r="J265">
        <f t="shared" si="14"/>
        <v>2.6400000000000006</v>
      </c>
    </row>
    <row r="266" spans="1:10" x14ac:dyDescent="0.25">
      <c r="A266" t="s">
        <v>24</v>
      </c>
      <c r="B266">
        <v>20</v>
      </c>
      <c r="C266">
        <v>1163.92</v>
      </c>
      <c r="D266">
        <v>36.94</v>
      </c>
      <c r="E266">
        <v>33.770000000000003</v>
      </c>
      <c r="F266">
        <v>1.2390000000000001</v>
      </c>
      <c r="G266">
        <v>3.0000000000000001E-3</v>
      </c>
      <c r="H266">
        <f t="shared" si="12"/>
        <v>3.1737576465736474E-2</v>
      </c>
      <c r="I266">
        <f t="shared" si="13"/>
        <v>2.9014021582239331E-2</v>
      </c>
      <c r="J266">
        <f t="shared" si="14"/>
        <v>3.1699999999999946</v>
      </c>
    </row>
    <row r="267" spans="1:10" x14ac:dyDescent="0.25">
      <c r="A267" t="s">
        <v>24</v>
      </c>
      <c r="B267">
        <v>25</v>
      </c>
      <c r="C267">
        <v>1163.92</v>
      </c>
      <c r="D267">
        <v>42.42</v>
      </c>
      <c r="E267">
        <v>38.82</v>
      </c>
      <c r="F267">
        <v>1.2471000000000001</v>
      </c>
      <c r="G267">
        <v>3.0000000000000001E-3</v>
      </c>
      <c r="H267">
        <f t="shared" si="12"/>
        <v>3.6445803835315142E-2</v>
      </c>
      <c r="I267">
        <f t="shared" si="13"/>
        <v>3.3352807753110177E-2</v>
      </c>
      <c r="J267">
        <f t="shared" si="14"/>
        <v>3.6000000000000014</v>
      </c>
    </row>
    <row r="268" spans="1:10" x14ac:dyDescent="0.25">
      <c r="A268" t="s">
        <v>24</v>
      </c>
      <c r="B268">
        <v>30</v>
      </c>
      <c r="C268">
        <v>1163.92</v>
      </c>
      <c r="D268">
        <v>47.69</v>
      </c>
      <c r="E268">
        <v>43.69</v>
      </c>
      <c r="F268">
        <v>1.2823</v>
      </c>
      <c r="G268">
        <v>3.0000000000000001E-3</v>
      </c>
      <c r="H268">
        <f t="shared" si="12"/>
        <v>4.0973606433431849E-2</v>
      </c>
      <c r="I268">
        <f t="shared" si="13"/>
        <v>3.7536944119870776E-2</v>
      </c>
      <c r="J268">
        <f t="shared" si="14"/>
        <v>4</v>
      </c>
    </row>
    <row r="269" spans="1:10" x14ac:dyDescent="0.25">
      <c r="A269" t="s">
        <v>24</v>
      </c>
      <c r="B269">
        <v>35</v>
      </c>
      <c r="C269">
        <v>1163.92</v>
      </c>
      <c r="D269">
        <v>52.72</v>
      </c>
      <c r="E269">
        <v>48.32</v>
      </c>
      <c r="F269">
        <v>1.3449</v>
      </c>
      <c r="G269">
        <v>3.0000000000000001E-3</v>
      </c>
      <c r="H269">
        <f t="shared" si="12"/>
        <v>4.5295209292734895E-2</v>
      </c>
      <c r="I269">
        <f t="shared" si="13"/>
        <v>4.1514880747817715E-2</v>
      </c>
      <c r="J269">
        <f t="shared" si="14"/>
        <v>4.3999999999999986</v>
      </c>
    </row>
    <row r="270" spans="1:10" x14ac:dyDescent="0.25">
      <c r="A270" t="s">
        <v>24</v>
      </c>
      <c r="B270">
        <v>40</v>
      </c>
      <c r="C270">
        <v>1163.92</v>
      </c>
      <c r="D270">
        <v>57.25</v>
      </c>
      <c r="E270">
        <v>52.42</v>
      </c>
      <c r="F270">
        <v>1.3201000000000001</v>
      </c>
      <c r="G270">
        <v>3.0000000000000001E-3</v>
      </c>
      <c r="H270">
        <f t="shared" si="12"/>
        <v>4.9187229362842803E-2</v>
      </c>
      <c r="I270">
        <f t="shared" si="13"/>
        <v>4.5037459619217811E-2</v>
      </c>
      <c r="J270">
        <f t="shared" si="14"/>
        <v>4.8299999999999983</v>
      </c>
    </row>
    <row r="271" spans="1:10" x14ac:dyDescent="0.25">
      <c r="A271" t="s">
        <v>24</v>
      </c>
      <c r="B271">
        <v>45</v>
      </c>
      <c r="C271">
        <v>1163.92</v>
      </c>
      <c r="D271">
        <v>62.26</v>
      </c>
      <c r="E271">
        <v>57.04</v>
      </c>
      <c r="F271">
        <v>1.36</v>
      </c>
      <c r="G271">
        <v>3.0000000000000001E-3</v>
      </c>
      <c r="H271">
        <f t="shared" si="12"/>
        <v>5.3491648910578039E-2</v>
      </c>
      <c r="I271">
        <f t="shared" si="13"/>
        <v>4.9006804591380848E-2</v>
      </c>
      <c r="J271">
        <f t="shared" si="14"/>
        <v>5.2199999999999989</v>
      </c>
    </row>
    <row r="272" spans="1:10" x14ac:dyDescent="0.25">
      <c r="A272" t="s">
        <v>24</v>
      </c>
      <c r="B272">
        <v>50</v>
      </c>
      <c r="C272">
        <v>1163.92</v>
      </c>
      <c r="D272">
        <v>66.67</v>
      </c>
      <c r="E272">
        <v>61.11</v>
      </c>
      <c r="F272">
        <v>1.3703000000000001</v>
      </c>
      <c r="G272">
        <v>3.0000000000000001E-3</v>
      </c>
      <c r="H272">
        <f t="shared" si="12"/>
        <v>5.7280569111279121E-2</v>
      </c>
      <c r="I272">
        <f t="shared" si="13"/>
        <v>5.2503608495429233E-2</v>
      </c>
      <c r="J272">
        <f t="shared" si="14"/>
        <v>5.5600000000000023</v>
      </c>
    </row>
    <row r="273" spans="1:10" x14ac:dyDescent="0.25">
      <c r="A273" t="s">
        <v>24</v>
      </c>
      <c r="B273">
        <v>55</v>
      </c>
      <c r="C273">
        <v>1163.92</v>
      </c>
      <c r="D273">
        <v>71.260000000000005</v>
      </c>
      <c r="E273">
        <v>65.37</v>
      </c>
      <c r="F273">
        <v>1.4162999999999999</v>
      </c>
      <c r="G273">
        <v>3.0000000000000001E-3</v>
      </c>
      <c r="H273">
        <f t="shared" si="12"/>
        <v>6.1224139116090454E-2</v>
      </c>
      <c r="I273">
        <f t="shared" si="13"/>
        <v>5.6163653859371776E-2</v>
      </c>
      <c r="J273">
        <f t="shared" si="14"/>
        <v>5.8900000000000006</v>
      </c>
    </row>
    <row r="274" spans="1:10" x14ac:dyDescent="0.25">
      <c r="A274" t="s">
        <v>24</v>
      </c>
      <c r="B274">
        <v>60</v>
      </c>
      <c r="C274">
        <v>1163.92</v>
      </c>
      <c r="D274">
        <v>77.19</v>
      </c>
      <c r="E274">
        <v>70.92</v>
      </c>
      <c r="F274">
        <v>1.4533</v>
      </c>
      <c r="G274">
        <v>2E-3</v>
      </c>
      <c r="H274">
        <f t="shared" si="12"/>
        <v>6.6318990995944738E-2</v>
      </c>
      <c r="I274">
        <f t="shared" si="13"/>
        <v>6.0932022819437763E-2</v>
      </c>
      <c r="J274">
        <f t="shared" si="14"/>
        <v>6.269999999999996</v>
      </c>
    </row>
    <row r="275" spans="1:10" x14ac:dyDescent="0.25">
      <c r="A275" t="s">
        <v>24</v>
      </c>
      <c r="B275">
        <v>65</v>
      </c>
      <c r="C275">
        <v>1163.92</v>
      </c>
      <c r="D275">
        <v>85.05</v>
      </c>
      <c r="E275">
        <v>77.900000000000006</v>
      </c>
      <c r="F275">
        <v>1.4658</v>
      </c>
      <c r="G275">
        <v>4.0000000000000001E-3</v>
      </c>
      <c r="H275">
        <f t="shared" si="12"/>
        <v>7.3072032442092233E-2</v>
      </c>
      <c r="I275">
        <f t="shared" si="13"/>
        <v>6.6928998556601824E-2</v>
      </c>
      <c r="J275">
        <f t="shared" si="14"/>
        <v>7.1499999999999915</v>
      </c>
    </row>
    <row r="276" spans="1:10" x14ac:dyDescent="0.25">
      <c r="A276" t="s">
        <v>24</v>
      </c>
      <c r="B276">
        <v>70</v>
      </c>
      <c r="C276">
        <v>1163.92</v>
      </c>
      <c r="D276">
        <v>94.45</v>
      </c>
      <c r="E276">
        <v>86.63</v>
      </c>
      <c r="F276">
        <v>1.5254000000000001</v>
      </c>
      <c r="G276">
        <v>3.0000000000000001E-3</v>
      </c>
      <c r="H276">
        <f t="shared" si="12"/>
        <v>8.1148188878960748E-2</v>
      </c>
      <c r="I276">
        <f t="shared" si="13"/>
        <v>7.4429514055948859E-2</v>
      </c>
      <c r="J276">
        <f t="shared" si="14"/>
        <v>7.8200000000000074</v>
      </c>
    </row>
    <row r="277" spans="1:10" x14ac:dyDescent="0.25">
      <c r="A277" t="s">
        <v>24</v>
      </c>
      <c r="B277">
        <v>75</v>
      </c>
      <c r="C277">
        <v>1163.92</v>
      </c>
      <c r="D277">
        <v>105.36</v>
      </c>
      <c r="E277">
        <v>96.91</v>
      </c>
      <c r="F277">
        <v>1.5492999999999999</v>
      </c>
      <c r="G277">
        <v>3.0000000000000001E-3</v>
      </c>
      <c r="H277">
        <f t="shared" si="12"/>
        <v>9.0521685339198563E-2</v>
      </c>
      <c r="I277">
        <f t="shared" si="13"/>
        <v>8.3261736201800801E-2</v>
      </c>
      <c r="J277">
        <f t="shared" si="14"/>
        <v>8.4500000000000028</v>
      </c>
    </row>
    <row r="278" spans="1:10" x14ac:dyDescent="0.25">
      <c r="A278" t="s">
        <v>24</v>
      </c>
      <c r="B278">
        <v>80</v>
      </c>
      <c r="C278">
        <v>1163.92</v>
      </c>
      <c r="D278">
        <v>122.92</v>
      </c>
      <c r="E278">
        <v>113.36</v>
      </c>
      <c r="F278">
        <v>1.6520999999999999</v>
      </c>
      <c r="G278">
        <v>3.0000000000000001E-3</v>
      </c>
      <c r="H278">
        <f t="shared" si="12"/>
        <v>0.10560863289573166</v>
      </c>
      <c r="I278">
        <f t="shared" si="13"/>
        <v>9.7395009966320709E-2</v>
      </c>
      <c r="J278">
        <f t="shared" si="14"/>
        <v>9.5600000000000023</v>
      </c>
    </row>
    <row r="279" spans="1:10" x14ac:dyDescent="0.25">
      <c r="A279" t="s">
        <v>24</v>
      </c>
      <c r="B279">
        <v>85</v>
      </c>
      <c r="C279">
        <v>1163.92</v>
      </c>
      <c r="D279">
        <v>147.81</v>
      </c>
      <c r="E279">
        <v>136.97</v>
      </c>
      <c r="F279">
        <v>1.7759</v>
      </c>
      <c r="G279">
        <v>3.0000000000000001E-3</v>
      </c>
      <c r="H279">
        <f t="shared" si="12"/>
        <v>0.1269932641418654</v>
      </c>
      <c r="I279">
        <f t="shared" si="13"/>
        <v>0.11767990927211491</v>
      </c>
      <c r="J279">
        <f t="shared" si="14"/>
        <v>10.840000000000003</v>
      </c>
    </row>
    <row r="280" spans="1:10" x14ac:dyDescent="0.25">
      <c r="A280" t="s">
        <v>24</v>
      </c>
      <c r="B280">
        <v>90</v>
      </c>
      <c r="C280">
        <v>1163.92</v>
      </c>
      <c r="D280">
        <v>192.79</v>
      </c>
      <c r="E280">
        <v>178.4</v>
      </c>
      <c r="F280">
        <v>1.9938</v>
      </c>
      <c r="G280">
        <v>4.0000000000000001E-3</v>
      </c>
      <c r="H280">
        <f t="shared" si="12"/>
        <v>0.16563853185785962</v>
      </c>
      <c r="I280">
        <f t="shared" si="13"/>
        <v>0.15327513918482369</v>
      </c>
      <c r="J280">
        <f t="shared" si="14"/>
        <v>14.389999999999986</v>
      </c>
    </row>
    <row r="281" spans="1:10" x14ac:dyDescent="0.25">
      <c r="A281" t="s">
        <v>24</v>
      </c>
      <c r="B281">
        <v>95</v>
      </c>
      <c r="C281">
        <v>1163.92</v>
      </c>
      <c r="D281">
        <v>286.10000000000002</v>
      </c>
      <c r="E281">
        <v>265.01</v>
      </c>
      <c r="F281">
        <v>2.3226</v>
      </c>
      <c r="G281">
        <v>5.0000000000000001E-3</v>
      </c>
      <c r="H281">
        <f t="shared" si="12"/>
        <v>0.2458072719774555</v>
      </c>
      <c r="I281">
        <f t="shared" si="13"/>
        <v>0.22768746992920474</v>
      </c>
      <c r="J281">
        <f t="shared" si="14"/>
        <v>21.090000000000032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83DC-8355-4693-BD7F-486439C96B0C}">
  <dimension ref="A1"/>
  <sheetViews>
    <sheetView zoomScale="70" zoomScaleNormal="70" workbookViewId="0">
      <selection activeCell="AA41" sqref="AA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 1 (Alex)</vt:lpstr>
      <vt:lpstr>Run 2 (Alex)</vt:lpstr>
      <vt:lpstr>Run 1 (Ty)</vt:lpstr>
      <vt:lpstr>Run 2 (Ty)</vt:lpstr>
      <vt:lpstr>Run 1 Both 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Davis</dc:creator>
  <cp:lastModifiedBy>Ty Davis</cp:lastModifiedBy>
  <dcterms:created xsi:type="dcterms:W3CDTF">2026-03-28T04:40:05Z</dcterms:created>
  <dcterms:modified xsi:type="dcterms:W3CDTF">2026-03-29T19:07:29Z</dcterms:modified>
</cp:coreProperties>
</file>